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han\Downloads\"/>
    </mc:Choice>
  </mc:AlternateContent>
  <xr:revisionPtr revIDLastSave="0" documentId="8_{AD75F3D4-E634-4335-AC18-D6601A68CC8E}" xr6:coauthVersionLast="47" xr6:coauthVersionMax="47" xr10:uidLastSave="{00000000-0000-0000-0000-000000000000}"/>
  <bookViews>
    <workbookView xWindow="-110" yWindow="-110" windowWidth="19420" windowHeight="11500" firstSheet="8" activeTab="10" xr2:uid="{D3EF8972-1005-4219-A889-432644FB02D0}"/>
  </bookViews>
  <sheets>
    <sheet name="count of students by department" sheetId="4" r:id="rId1"/>
    <sheet name="Average Marks by Department" sheetId="6" r:id="rId2"/>
    <sheet name="Students by Department" sheetId="7" r:id="rId3"/>
    <sheet name="Grade Distribution" sheetId="9" r:id="rId4"/>
    <sheet name="city wise count" sheetId="13" r:id="rId5"/>
    <sheet name="Sheet15" sheetId="15" r:id="rId6"/>
    <sheet name="Student_performance" sheetId="1" r:id="rId7"/>
    <sheet name="Fee Status" sheetId="8" r:id="rId8"/>
    <sheet name="Pending Fees by Department" sheetId="12" r:id="rId9"/>
    <sheet name="Student_Fees" sheetId="2" r:id="rId10"/>
    <sheet name="Dashboard" sheetId="14" r:id="rId11"/>
  </sheets>
  <definedNames>
    <definedName name="_xlcn.WorksheetConnection_Book1Table11" hidden="1">Table1[]</definedName>
    <definedName name="_xlcn.WorksheetConnection_Book1Table21" hidden="1">Table2[]</definedName>
  </definedNames>
  <calcPr calcId="191029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Book1!Table1"/>
          <x15:modelTable id="Table2" name="Table2" connection="WorksheetConnection_Book1!Table2"/>
        </x15:modelTables>
        <x15:modelRelationships>
          <x15:modelRelationship fromTable="Table1" fromColumn="Student_ID" toTable="Table2" toColumn="Studen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1" i="1" l="1"/>
  <c r="B8" i="14"/>
  <c r="M2" i="1"/>
  <c r="B9" i="14"/>
  <c r="B7" i="14"/>
  <c r="B6" i="14"/>
  <c r="B5" i="14"/>
  <c r="B4" i="14"/>
  <c r="M40" i="1"/>
  <c r="M41" i="1"/>
  <c r="M42" i="1"/>
  <c r="M43" i="1"/>
  <c r="M44" i="1"/>
  <c r="M45" i="1"/>
  <c r="M46" i="1"/>
  <c r="M47" i="1"/>
  <c r="M48" i="1"/>
  <c r="M49" i="1"/>
  <c r="M50" i="1"/>
  <c r="M51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H3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1119C8-4C74-4B22-8B3B-AB779DDBF94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482E823-CAC5-4634-BC8A-E7E029C65BBA}" name="WorksheetConnection_Book1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Book1Table11"/>
        </x15:connection>
      </ext>
    </extLst>
  </connection>
  <connection id="3" xr16:uid="{38A9E666-A808-4BE6-ACDF-697BCA7F05E5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1"/>
        </x15:connection>
      </ext>
    </extLst>
  </connection>
</connections>
</file>

<file path=xl/sharedStrings.xml><?xml version="1.0" encoding="utf-8"?>
<sst xmlns="http://schemas.openxmlformats.org/spreadsheetml/2006/main" count="534" uniqueCount="157">
  <si>
    <t>S001</t>
  </si>
  <si>
    <t>Rahul</t>
  </si>
  <si>
    <t>Male</t>
  </si>
  <si>
    <t>CSE</t>
  </si>
  <si>
    <t>Python</t>
  </si>
  <si>
    <t>Hyderabad</t>
  </si>
  <si>
    <t>A</t>
  </si>
  <si>
    <t>S002</t>
  </si>
  <si>
    <t>Priya</t>
  </si>
  <si>
    <t>Female</t>
  </si>
  <si>
    <t>ECE</t>
  </si>
  <si>
    <t>SQL</t>
  </si>
  <si>
    <t>Bangalore</t>
  </si>
  <si>
    <t>B</t>
  </si>
  <si>
    <t>S003</t>
  </si>
  <si>
    <t>Arjun</t>
  </si>
  <si>
    <t>Excel</t>
  </si>
  <si>
    <t>Chennai</t>
  </si>
  <si>
    <t>C</t>
  </si>
  <si>
    <t>S004</t>
  </si>
  <si>
    <t>Sneha</t>
  </si>
  <si>
    <t>EEE</t>
  </si>
  <si>
    <t>Power BI</t>
  </si>
  <si>
    <t>Delhi</t>
  </si>
  <si>
    <t>S005</t>
  </si>
  <si>
    <t>Kiran</t>
  </si>
  <si>
    <t>MECH</t>
  </si>
  <si>
    <t>Mumbai</t>
  </si>
  <si>
    <t>D</t>
  </si>
  <si>
    <t>S006</t>
  </si>
  <si>
    <t>Anjali</t>
  </si>
  <si>
    <t>Pune</t>
  </si>
  <si>
    <t>S007</t>
  </si>
  <si>
    <t>Rohit</t>
  </si>
  <si>
    <t>S008</t>
  </si>
  <si>
    <t>Divya</t>
  </si>
  <si>
    <t>S009</t>
  </si>
  <si>
    <t>Vivek</t>
  </si>
  <si>
    <t>S010</t>
  </si>
  <si>
    <t>Pooja</t>
  </si>
  <si>
    <t>S011</t>
  </si>
  <si>
    <t>Aman</t>
  </si>
  <si>
    <t>S012</t>
  </si>
  <si>
    <t>Kavya</t>
  </si>
  <si>
    <t>S013</t>
  </si>
  <si>
    <t>Ravi</t>
  </si>
  <si>
    <t>S014</t>
  </si>
  <si>
    <t>Meena</t>
  </si>
  <si>
    <t>S015</t>
  </si>
  <si>
    <t>Suresh</t>
  </si>
  <si>
    <t>S016</t>
  </si>
  <si>
    <t>Nisha</t>
  </si>
  <si>
    <t>S017</t>
  </si>
  <si>
    <t>Vikram</t>
  </si>
  <si>
    <t>S018</t>
  </si>
  <si>
    <t>Swathi</t>
  </si>
  <si>
    <t>S019</t>
  </si>
  <si>
    <t>Manoj</t>
  </si>
  <si>
    <t>S020</t>
  </si>
  <si>
    <t>Asha</t>
  </si>
  <si>
    <t>S021</t>
  </si>
  <si>
    <t>Karthik</t>
  </si>
  <si>
    <t>S022</t>
  </si>
  <si>
    <t>Lakshmi</t>
  </si>
  <si>
    <t>S023</t>
  </si>
  <si>
    <t>Ajay</t>
  </si>
  <si>
    <t>S024</t>
  </si>
  <si>
    <t>Harini</t>
  </si>
  <si>
    <t>S025</t>
  </si>
  <si>
    <t>Naveen</t>
  </si>
  <si>
    <t>S026</t>
  </si>
  <si>
    <t>Pavani</t>
  </si>
  <si>
    <t>S027</t>
  </si>
  <si>
    <t>Ramesh</t>
  </si>
  <si>
    <t>S028</t>
  </si>
  <si>
    <t>Deepa</t>
  </si>
  <si>
    <t>S029</t>
  </si>
  <si>
    <t>Surya</t>
  </si>
  <si>
    <t>S030</t>
  </si>
  <si>
    <t>Keerthi</t>
  </si>
  <si>
    <t>S031</t>
  </si>
  <si>
    <t>Venu</t>
  </si>
  <si>
    <t>S032</t>
  </si>
  <si>
    <t>Bhavya</t>
  </si>
  <si>
    <t>S033</t>
  </si>
  <si>
    <t>Tarun</t>
  </si>
  <si>
    <t>S034</t>
  </si>
  <si>
    <t>Sowmya</t>
  </si>
  <si>
    <t>S035</t>
  </si>
  <si>
    <t>Rakesh</t>
  </si>
  <si>
    <t>S036</t>
  </si>
  <si>
    <t>Neha</t>
  </si>
  <si>
    <t>S037</t>
  </si>
  <si>
    <t>Prakash</t>
  </si>
  <si>
    <t>S038</t>
  </si>
  <si>
    <t>Madhuri</t>
  </si>
  <si>
    <t>S039</t>
  </si>
  <si>
    <t>Ganesh</t>
  </si>
  <si>
    <t>S040</t>
  </si>
  <si>
    <t>Shalini</t>
  </si>
  <si>
    <t>S041</t>
  </si>
  <si>
    <t>Harish</t>
  </si>
  <si>
    <t>S042</t>
  </si>
  <si>
    <t>Tejaswini</t>
  </si>
  <si>
    <t>S043</t>
  </si>
  <si>
    <t>Mahesh</t>
  </si>
  <si>
    <t>S044</t>
  </si>
  <si>
    <t>Srilatha</t>
  </si>
  <si>
    <t>S045</t>
  </si>
  <si>
    <t>Chandu</t>
  </si>
  <si>
    <t>S046</t>
  </si>
  <si>
    <t>Anusha</t>
  </si>
  <si>
    <t>S047</t>
  </si>
  <si>
    <t>Ravi Kumar</t>
  </si>
  <si>
    <t>S048</t>
  </si>
  <si>
    <t>Mounika</t>
  </si>
  <si>
    <t>S049</t>
  </si>
  <si>
    <t>Sanjay</t>
  </si>
  <si>
    <t>S050</t>
  </si>
  <si>
    <t>Swetha</t>
  </si>
  <si>
    <t>Student_id</t>
  </si>
  <si>
    <t>Student_name</t>
  </si>
  <si>
    <t>Gender</t>
  </si>
  <si>
    <t>Age</t>
  </si>
  <si>
    <t>Department</t>
  </si>
  <si>
    <t>Cource</t>
  </si>
  <si>
    <t>City</t>
  </si>
  <si>
    <t>Attendance_percent</t>
  </si>
  <si>
    <t>Total_marks</t>
  </si>
  <si>
    <t>Marks</t>
  </si>
  <si>
    <t>Grade</t>
  </si>
  <si>
    <t>Paid</t>
  </si>
  <si>
    <t>Pending</t>
  </si>
  <si>
    <t>Fee_ID</t>
  </si>
  <si>
    <t>Student_ID</t>
  </si>
  <si>
    <t>Total_fees</t>
  </si>
  <si>
    <t>Payment_status</t>
  </si>
  <si>
    <t>Pending_Fees</t>
  </si>
  <si>
    <t>Paid_Fees</t>
  </si>
  <si>
    <t>Column1</t>
  </si>
  <si>
    <t>Column2</t>
  </si>
  <si>
    <t>Row Labels</t>
  </si>
  <si>
    <t>Grand Total</t>
  </si>
  <si>
    <t>Count of Student_name</t>
  </si>
  <si>
    <t>Sum of Marks</t>
  </si>
  <si>
    <t>Marks_percentage</t>
  </si>
  <si>
    <t>Risk Level</t>
  </si>
  <si>
    <t>Average of Attendance_percent</t>
  </si>
  <si>
    <t>Count of Student_id</t>
  </si>
  <si>
    <t>Count of Student_ID</t>
  </si>
  <si>
    <t>Sum of Pending_Fees</t>
  </si>
  <si>
    <t>count of students</t>
  </si>
  <si>
    <t>Total amount</t>
  </si>
  <si>
    <t>paid amount</t>
  </si>
  <si>
    <t>pending amount</t>
  </si>
  <si>
    <t>count of students greater than 90 marks</t>
  </si>
  <si>
    <t>count of low risk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</si>
</sst>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[Student_Data.xlsx]count of students by department!PivotTable1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students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 of students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 of students by department'!$A$4:$A$8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MECH</c:v>
                </c:pt>
              </c:strCache>
            </c:strRef>
          </c:cat>
          <c:val>
            <c:numRef>
              <c:f>'count of students by department'!$B$4:$B$8</c:f>
              <c:numCache>
                <c:formatCode>General</c:formatCode>
                <c:ptCount val="4"/>
                <c:pt idx="0">
                  <c:v>17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F1-471A-AFEA-6F327D88A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450640"/>
        <c:axId val="639926256"/>
      </c:barChart>
      <c:catAx>
        <c:axId val="81045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926256"/>
        <c:crosses val="autoZero"/>
        <c:auto val="1"/>
        <c:lblAlgn val="ctr"/>
        <c:lblOffset val="100"/>
        <c:noMultiLvlLbl val="0"/>
      </c:catAx>
      <c:valAx>
        <c:axId val="63992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45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[Student_Data.xlsx]Average Marks by Department!PivotTable3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Marks by Department</a:t>
            </a:r>
          </a:p>
        </c:rich>
      </c:tx>
      <c:layout>
        <c:manualLayout>
          <c:xMode val="edge"/>
          <c:yMode val="edge"/>
          <c:x val="0.20561009817671808"/>
          <c:y val="3.483309143686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'Average Marks by Department'!$B$3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86-4D83-BB9E-A40EE6BDAD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86-4D83-BB9E-A40EE6BDAD6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386-4D83-BB9E-A40EE6BDAD6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386-4D83-BB9E-A40EE6BDAD6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'Average Marks by Department'!$A$4:$A$8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MECH</c:v>
                </c:pt>
              </c:strCache>
            </c:strRef>
          </c:cat>
          <c:val>
            <c:numRef>
              <c:f>'Average Marks by Department'!$B$4:$B$8</c:f>
              <c:numCache>
                <c:formatCode>General</c:formatCode>
                <c:ptCount val="4"/>
                <c:pt idx="0">
                  <c:v>84.470588235294116</c:v>
                </c:pt>
                <c:pt idx="1">
                  <c:v>83.818181818181813</c:v>
                </c:pt>
                <c:pt idx="2">
                  <c:v>80.818181818181813</c:v>
                </c:pt>
                <c:pt idx="3">
                  <c:v>76.909090909090907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86-4D83-BB9E-A40EE6BDAD6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[Student_Data.xlsx]Students by Department!PivotTable4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</a:t>
            </a:r>
            <a:r>
              <a:rPr lang="en-US" baseline="0"/>
              <a:t> wise students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'Students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'Students by Department'!$A$4:$A$8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'Students by Department'!$B$4:$B$8</c:f>
              <c:numCache>
                <c:formatCode>General</c:formatCode>
                <c:ptCount val="4"/>
                <c:pt idx="0">
                  <c:v>20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C3-4C86-BD2A-0924A1C20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7792896"/>
        <c:axId val="922786960"/>
      </c:barChart>
      <c:catAx>
        <c:axId val="142779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86960"/>
        <c:crosses val="autoZero"/>
        <c:auto val="1"/>
        <c:lblAlgn val="ctr"/>
        <c:lblOffset val="100"/>
        <c:noMultiLvlLbl val="0"/>
      </c:catAx>
      <c:valAx>
        <c:axId val="9227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79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[Student_Data.xlsx]Fee Status!PivotTable5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'Fee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62-4BFF-9BBA-B058E6BD83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62-4BFF-9BBA-B058E6BD834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'Fee Status'!$A$4:$A$6</c:f>
              <c:strCache>
                <c:ptCount val="2"/>
                <c:pt idx="0">
                  <c:v>Paid</c:v>
                </c:pt>
                <c:pt idx="1">
                  <c:v>Pending</c:v>
                </c:pt>
              </c:strCache>
            </c:strRef>
          </c:cat>
          <c:val>
            <c:numRef>
              <c:f>'Fee Status'!$B$4:$B$6</c:f>
              <c:numCache>
                <c:formatCode>General</c:formatCode>
                <c:ptCount val="2"/>
                <c:pt idx="0">
                  <c:v>22</c:v>
                </c:pt>
                <c:pt idx="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62-4BFF-9BBA-B058E6BD8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[Student_Data.xlsx]Pending Fees by Department!PivotTable9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Pending Fees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'Pending Fees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'Pending Fees by Department'!$A$4:$A$8</c:f>
              <c:strCache>
                <c:ptCount val="4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MECH</c:v>
                </c:pt>
              </c:strCache>
            </c:strRef>
          </c:cat>
          <c:val>
            <c:numRef>
              <c:f>'Pending Fees by Department'!$B$4:$B$8</c:f>
              <c:numCache>
                <c:formatCode>General</c:formatCode>
                <c:ptCount val="4"/>
                <c:pt idx="0">
                  <c:v>80000</c:v>
                </c:pt>
                <c:pt idx="1">
                  <c:v>55000</c:v>
                </c:pt>
                <c:pt idx="2">
                  <c:v>100000</c:v>
                </c:pt>
                <c:pt idx="3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2-4D0D-81EB-43BC00546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172816"/>
        <c:axId val="922867600"/>
      </c:barChart>
      <c:catAx>
        <c:axId val="93417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867600"/>
        <c:crosses val="autoZero"/>
        <c:auto val="1"/>
        <c:lblAlgn val="ctr"/>
        <c:lblOffset val="100"/>
        <c:noMultiLvlLbl val="0"/>
      </c:catAx>
      <c:valAx>
        <c:axId val="92286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17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[Student_Data.xlsx]city wise count!PivotTable10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 wise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wise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'city wise count'!$A$4:$A$10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'city wise count'!$B$4:$B$10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A-4F80-9D9C-08308059B0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34276992"/>
        <c:axId val="922774000"/>
      </c:barChart>
      <c:catAx>
        <c:axId val="93427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774000"/>
        <c:crosses val="autoZero"/>
        <c:auto val="1"/>
        <c:lblAlgn val="ctr"/>
        <c:lblOffset val="100"/>
        <c:noMultiLvlLbl val="0"/>
      </c:catAx>
      <c:valAx>
        <c:axId val="922774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27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168275</xdr:rowOff>
    </xdr:from>
    <xdr:to>
      <xdr:col>5</xdr:col>
      <xdr:colOff>31750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3E9258-14BC-BD10-E9B1-D71D04F7F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130175</xdr:colOff>
      <xdr:row>1</xdr:row>
      <xdr:rowOff>15875</xdr:rowOff>
    </xdr:from>
    <xdr:to>
      <xdr:col>8</xdr:col>
      <xdr:colOff>406400</xdr:colOff>
      <xdr:row>12</xdr:row>
      <xdr:rowOff>177800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96B6917-1A0C-7B82-1AC7-5D1324B6B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19049</xdr:colOff>
      <xdr:row>14</xdr:row>
      <xdr:rowOff>3175</xdr:rowOff>
    </xdr:from>
    <xdr:to>
      <xdr:col>3</xdr:col>
      <xdr:colOff>12700</xdr:colOff>
      <xdr:row>26</xdr:row>
      <xdr:rowOff>12700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877EFAF0-39AD-60C5-293F-F97300A44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123825</xdr:colOff>
      <xdr:row>14</xdr:row>
      <xdr:rowOff>9525</xdr:rowOff>
    </xdr:from>
    <xdr:to>
      <xdr:col>8</xdr:col>
      <xdr:colOff>0</xdr:colOff>
      <xdr:row>25</xdr:row>
      <xdr:rowOff>177800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1EEE064-7E54-FE90-6506-2EBCE823B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107950</xdr:colOff>
      <xdr:row>13</xdr:row>
      <xdr:rowOff>165100</xdr:rowOff>
    </xdr:from>
    <xdr:to>
      <xdr:col>13</xdr:col>
      <xdr:colOff>6349</xdr:colOff>
      <xdr:row>25</xdr:row>
      <xdr:rowOff>177800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D17628A-E6FF-60D3-3017-86BA0771A2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63500</xdr:colOff>
      <xdr:row>1</xdr:row>
      <xdr:rowOff>9525</xdr:rowOff>
    </xdr:from>
    <xdr:to>
      <xdr:col>13</xdr:col>
      <xdr:colOff>0</xdr:colOff>
      <xdr:row>13</xdr:row>
      <xdr:rowOff>12700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A3A7E61A-B074-4C6E-CB3E-BC968FE9A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ini Thonduru" refreshedDate="46303.708262384258" createdVersion="8" refreshedVersion="8" minRefreshableVersion="3" recordCount="50" xr:uid="{0812E4E9-1C37-4015-BB00-C2603C5DBE4E}">
  <cacheSource type="worksheet">
    <worksheetSource name="Table2"/>
  </cacheSource>
  <cacheFields count="11">
    <cacheField name="Student_id" numFmtId="0">
      <sharedItems/>
    </cacheField>
    <cacheField name="Student_name" numFmtId="0">
      <sharedItems count="50">
        <s v="Rahul"/>
        <s v="Priya"/>
        <s v="Arjun"/>
        <s v="Sneha"/>
        <s v="Kiran"/>
        <s v="Anjali"/>
        <s v="Rohit"/>
        <s v="Divya"/>
        <s v="Vivek"/>
        <s v="Pooja"/>
        <s v="Aman"/>
        <s v="Kavya"/>
        <s v="Ravi"/>
        <s v="Meena"/>
        <s v="Suresh"/>
        <s v="Nisha"/>
        <s v="Vikram"/>
        <s v="Swathi"/>
        <s v="Manoj"/>
        <s v="Asha"/>
        <s v="Karthik"/>
        <s v="Lakshmi"/>
        <s v="Ajay"/>
        <s v="Harini"/>
        <s v="Naveen"/>
        <s v="Pavani"/>
        <s v="Ramesh"/>
        <s v="Deepa"/>
        <s v="Surya"/>
        <s v="Keerthi"/>
        <s v="Venu"/>
        <s v="Bhavya"/>
        <s v="Tarun"/>
        <s v="Sowmya"/>
        <s v="Rakesh"/>
        <s v="Neha"/>
        <s v="Prakash"/>
        <s v="Madhuri"/>
        <s v="Ganesh"/>
        <s v="Shalini"/>
        <s v="Harish"/>
        <s v="Tejaswini"/>
        <s v="Mahesh"/>
        <s v="Srilatha"/>
        <s v="Chandu"/>
        <s v="Anusha"/>
        <s v="Ravi Kumar"/>
        <s v="Mounika"/>
        <s v="Sanjay"/>
        <s v="Swetha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20" maxValue="22"/>
    </cacheField>
    <cacheField name="Department" numFmtId="0">
      <sharedItems count="4">
        <s v="CSE"/>
        <s v="ECE"/>
        <s v="EEE"/>
        <s v="MECH"/>
      </sharedItems>
    </cacheField>
    <cacheField name="Cource" numFmtId="0">
      <sharedItems count="4">
        <s v="Python"/>
        <s v="SQL"/>
        <s v="Excel"/>
        <s v="Power BI"/>
      </sharedItems>
    </cacheField>
    <cacheField name="City" numFmtId="0">
      <sharedItems count="6">
        <s v="Hyderabad"/>
        <s v="Bangalore"/>
        <s v="Chennai"/>
        <s v="Delhi"/>
        <s v="Mumbai"/>
        <s v="Pune"/>
      </sharedItems>
    </cacheField>
    <cacheField name="Attendance_percent" numFmtId="0">
      <sharedItems containsSemiMixedTypes="0" containsString="0" containsNumber="1" containsInteger="1" minValue="61" maxValue="99"/>
    </cacheField>
    <cacheField name="Marks" numFmtId="0">
      <sharedItems containsSemiMixedTypes="0" containsString="0" containsNumber="1" containsInteger="1" minValue="43" maxValue="97"/>
    </cacheField>
    <cacheField name="Total_marks" numFmtId="0">
      <sharedItems containsSemiMixedTypes="0" containsString="0" containsNumber="1" containsInteger="1" minValue="100" maxValue="100"/>
    </cacheField>
    <cacheField name="Grade" numFmtId="0">
      <sharedItems count="4">
        <s v="A"/>
        <s v="B"/>
        <s v="C"/>
        <s v="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dini Thonduru" refreshedDate="46304.781495717594" createdVersion="8" refreshedVersion="8" minRefreshableVersion="3" recordCount="50" xr:uid="{57A37C7E-F619-4B11-9268-F21C86782FC4}">
  <cacheSource type="worksheet">
    <worksheetSource name="Table1"/>
  </cacheSource>
  <cacheFields count="6">
    <cacheField name="Fee_ID" numFmtId="0">
      <sharedItems containsSemiMixedTypes="0" containsString="0" containsNumber="1" containsInteger="1" minValue="101" maxValue="150"/>
    </cacheField>
    <cacheField name="Student_ID" numFmtId="0">
      <sharedItems count="5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</sharedItems>
    </cacheField>
    <cacheField name="Total_fees" numFmtId="0">
      <sharedItems containsSemiMixedTypes="0" containsString="0" containsNumber="1" containsInteger="1" minValue="45000" maxValue="55000"/>
    </cacheField>
    <cacheField name="Paid_Fees" numFmtId="0">
      <sharedItems containsSemiMixedTypes="0" containsString="0" containsNumber="1" containsInteger="1" minValue="30000" maxValue="55000"/>
    </cacheField>
    <cacheField name="Pending_Fees" numFmtId="0">
      <sharedItems containsSemiMixedTypes="0" containsString="0" containsNumber="1" containsInteger="1" minValue="0" maxValue="20000" count="5">
        <n v="0"/>
        <n v="10000"/>
        <n v="15000"/>
        <n v="5000"/>
        <n v="20000"/>
      </sharedItems>
    </cacheField>
    <cacheField name="Payment_status" numFmtId="0">
      <sharedItems count="2">
        <s v="Pai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ndini Thonduru" refreshedDate="46308.657380555553" backgroundQuery="1" createdVersion="8" refreshedVersion="8" minRefreshableVersion="3" recordCount="0" supportSubquery="1" supportAdvancedDrill="1" xr:uid="{78030E6D-8C51-4C8B-BFA0-AE6FC2ED4062}">
  <cacheSource type="external" connectionId="1"/>
  <cacheFields count="2">
    <cacheField name="[Measures].[Sum of Pending_Fees]" caption="Sum of Pending_Fees" numFmtId="0" hierarchy="21" level="32767"/>
    <cacheField name="[Table2].[Department].[Department]" caption="Department" numFmtId="0" hierarchy="10" level="1">
      <sharedItems count="4">
        <s v="CSE"/>
        <s v="ECE"/>
        <s v="EEE"/>
        <s v="MECH"/>
      </sharedItems>
    </cacheField>
  </cacheFields>
  <cacheHierarchies count="22">
    <cacheHierarchy uniqueName="[Table1].[Fee_ID]" caption="Fee_ID" attribute="1" defaultMemberUniqueName="[Table1].[Fee_ID].[All]" allUniqueName="[Table1].[Fee_ID].[All]" dimensionUniqueName="[Table1]" displayFolder="" count="0" memberValueDatatype="20" unbalanced="0"/>
    <cacheHierarchy uniqueName="[Table1].[Student_ID]" caption="Student_ID" attribute="1" defaultMemberUniqueName="[Table1].[Student_ID].[All]" allUniqueName="[Table1].[Student_ID].[All]" dimensionUniqueName="[Table1]" displayFolder="" count="0" memberValueDatatype="130" unbalanced="0"/>
    <cacheHierarchy uniqueName="[Table1].[Total_fees]" caption="Total_fees" attribute="1" defaultMemberUniqueName="[Table1].[Total_fees].[All]" allUniqueName="[Table1].[Total_fees].[All]" dimensionUniqueName="[Table1]" displayFolder="" count="0" memberValueDatatype="20" unbalanced="0"/>
    <cacheHierarchy uniqueName="[Table1].[Paid_Fees]" caption="Paid_Fees" attribute="1" defaultMemberUniqueName="[Table1].[Paid_Fees].[All]" allUniqueName="[Table1].[Paid_Fees].[All]" dimensionUniqueName="[Table1]" displayFolder="" count="0" memberValueDatatype="20" unbalanced="0"/>
    <cacheHierarchy uniqueName="[Table1].[Pending_Fees]" caption="Pending_Fees" attribute="1" defaultMemberUniqueName="[Table1].[Pending_Fees].[All]" allUniqueName="[Table1].[Pending_Fees].[All]" dimensionUniqueName="[Table1]" displayFolder="" count="0" memberValueDatatype="20" unbalanced="0"/>
    <cacheHierarchy uniqueName="[Table1].[Payment_status]" caption="Payment_status" attribute="1" defaultMemberUniqueName="[Table1].[Payment_status].[All]" allUniqueName="[Table1].[Payment_status].[All]" dimensionUniqueName="[Table1]" displayFolder="" count="0" memberValueDatatype="130" unbalanced="0"/>
    <cacheHierarchy uniqueName="[Table2].[Student_id]" caption="Student_id" attribute="1" defaultMemberUniqueName="[Table2].[Student_id].[All]" allUniqueName="[Table2].[Student_id].[All]" dimensionUniqueName="[Table2]" displayFolder="" count="0" memberValueDatatype="130" unbalanced="0"/>
    <cacheHierarchy uniqueName="[Table2].[Student_name]" caption="Student_name" attribute="1" defaultMemberUniqueName="[Table2].[Student_name].[All]" allUniqueName="[Table2].[Student_name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Age]" caption="Age" attribute="1" defaultMemberUniqueName="[Table2].[Age].[All]" allUniqueName="[Table2].[Age].[All]" dimensionUniqueName="[Table2]" displayFolder="" count="0" memberValueDatatype="20" unbalanced="0"/>
    <cacheHierarchy uniqueName="[Table2].[Department]" caption="Department" attribute="1" defaultMemberUniqueName="[Table2].[Department].[All]" allUniqueName="[Table2].[Department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Cource]" caption="Cource" attribute="1" defaultMemberUniqueName="[Table2].[Cource].[All]" allUniqueName="[Table2].[Cource].[All]" dimensionUniqueName="[Table2]" displayFolder="" count="0" memberValueDatatype="130" unbalanced="0"/>
    <cacheHierarchy uniqueName="[Table2].[City]" caption="City" attribute="1" defaultMemberUniqueName="[Table2].[City].[All]" allUniqueName="[Table2].[City].[All]" dimensionUniqueName="[Table2]" displayFolder="" count="0" memberValueDatatype="130" unbalanced="0"/>
    <cacheHierarchy uniqueName="[Table2].[Attendance_percent]" caption="Attendance_percent" attribute="1" defaultMemberUniqueName="[Table2].[Attendance_percent].[All]" allUniqueName="[Table2].[Attendance_percent].[All]" dimensionUniqueName="[Table2]" displayFolder="" count="0" memberValueDatatype="20" unbalanced="0"/>
    <cacheHierarchy uniqueName="[Table2].[Marks]" caption="Marks" attribute="1" defaultMemberUniqueName="[Table2].[Marks].[All]" allUniqueName="[Table2].[Marks].[All]" dimensionUniqueName="[Table2]" displayFolder="" count="0" memberValueDatatype="20" unbalanced="0"/>
    <cacheHierarchy uniqueName="[Table2].[Total_marks]" caption="Total_marks" attribute="1" defaultMemberUniqueName="[Table2].[Total_marks].[All]" allUniqueName="[Table2].[Total_marks].[All]" dimensionUniqueName="[Table2]" displayFolder="" count="0" memberValueDatatype="20" unbalanced="0"/>
    <cacheHierarchy uniqueName="[Table2].[Grade]" caption="Grade" attribute="1" defaultMemberUniqueName="[Table2].[Grade].[All]" allUniqueName="[Table2].[Grade].[All]" dimensionUniqueName="[Table2]" displayFolder="" count="0" memberValueDatatype="130" unbalanced="0"/>
    <cacheHierarchy uniqueName="[Table2].[Marks_percentage]" caption="Marks_percentage" attribute="1" defaultMemberUniqueName="[Table2].[Marks_percentage].[All]" allUniqueName="[Table2].[Marks_percentage].[All]" dimensionUniqueName="[Table2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Pending_Fees]" caption="Sum of Pending_Fee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S001"/>
    <x v="0"/>
    <s v="Male"/>
    <n v="20"/>
    <x v="0"/>
    <x v="0"/>
    <x v="0"/>
    <n v="92"/>
    <n v="85"/>
    <n v="100"/>
    <x v="0"/>
  </r>
  <r>
    <s v="S002"/>
    <x v="1"/>
    <s v="Female"/>
    <n v="21"/>
    <x v="1"/>
    <x v="1"/>
    <x v="1"/>
    <n v="88"/>
    <n v="78"/>
    <n v="100"/>
    <x v="1"/>
  </r>
  <r>
    <s v="S003"/>
    <x v="2"/>
    <s v="Male"/>
    <n v="20"/>
    <x v="0"/>
    <x v="2"/>
    <x v="2"/>
    <n v="72"/>
    <n v="55"/>
    <n v="100"/>
    <x v="2"/>
  </r>
  <r>
    <s v="S004"/>
    <x v="3"/>
    <s v="Female"/>
    <n v="22"/>
    <x v="2"/>
    <x v="3"/>
    <x v="3"/>
    <n v="95"/>
    <n v="91"/>
    <n v="100"/>
    <x v="0"/>
  </r>
  <r>
    <s v="S005"/>
    <x v="4"/>
    <s v="Male"/>
    <n v="21"/>
    <x v="3"/>
    <x v="1"/>
    <x v="4"/>
    <n v="68"/>
    <n v="48"/>
    <n v="100"/>
    <x v="3"/>
  </r>
  <r>
    <s v="S006"/>
    <x v="5"/>
    <s v="Female"/>
    <n v="20"/>
    <x v="0"/>
    <x v="0"/>
    <x v="5"/>
    <n v="89"/>
    <n v="82"/>
    <n v="100"/>
    <x v="0"/>
  </r>
  <r>
    <s v="S007"/>
    <x v="6"/>
    <s v="Male"/>
    <n v="22"/>
    <x v="1"/>
    <x v="2"/>
    <x v="0"/>
    <n v="76"/>
    <n v="64"/>
    <n v="100"/>
    <x v="1"/>
  </r>
  <r>
    <s v="S008"/>
    <x v="7"/>
    <s v="Female"/>
    <n v="21"/>
    <x v="2"/>
    <x v="1"/>
    <x v="1"/>
    <n v="94"/>
    <n v="88"/>
    <n v="100"/>
    <x v="0"/>
  </r>
  <r>
    <s v="S009"/>
    <x v="8"/>
    <s v="Male"/>
    <n v="20"/>
    <x v="0"/>
    <x v="3"/>
    <x v="2"/>
    <n v="81"/>
    <n v="73"/>
    <n v="100"/>
    <x v="1"/>
  </r>
  <r>
    <s v="S010"/>
    <x v="9"/>
    <s v="Female"/>
    <n v="22"/>
    <x v="3"/>
    <x v="2"/>
    <x v="3"/>
    <n v="65"/>
    <n v="52"/>
    <n v="100"/>
    <x v="2"/>
  </r>
  <r>
    <s v="S011"/>
    <x v="10"/>
    <s v="Male"/>
    <n v="21"/>
    <x v="0"/>
    <x v="1"/>
    <x v="4"/>
    <n v="74"/>
    <n v="59"/>
    <n v="100"/>
    <x v="2"/>
  </r>
  <r>
    <s v="S012"/>
    <x v="11"/>
    <s v="Female"/>
    <n v="20"/>
    <x v="1"/>
    <x v="0"/>
    <x v="5"/>
    <n v="91"/>
    <n v="86"/>
    <n v="100"/>
    <x v="0"/>
  </r>
  <r>
    <s v="S013"/>
    <x v="12"/>
    <s v="Male"/>
    <n v="22"/>
    <x v="2"/>
    <x v="3"/>
    <x v="0"/>
    <n v="79"/>
    <n v="69"/>
    <n v="100"/>
    <x v="1"/>
  </r>
  <r>
    <s v="S014"/>
    <x v="13"/>
    <s v="Female"/>
    <n v="21"/>
    <x v="3"/>
    <x v="1"/>
    <x v="2"/>
    <n v="62"/>
    <n v="45"/>
    <n v="100"/>
    <x v="3"/>
  </r>
  <r>
    <s v="S015"/>
    <x v="14"/>
    <s v="Male"/>
    <n v="20"/>
    <x v="0"/>
    <x v="2"/>
    <x v="1"/>
    <n v="87"/>
    <n v="80"/>
    <n v="100"/>
    <x v="0"/>
  </r>
  <r>
    <s v="S016"/>
    <x v="15"/>
    <s v="Female"/>
    <n v="22"/>
    <x v="1"/>
    <x v="3"/>
    <x v="3"/>
    <n v="93"/>
    <n v="90"/>
    <n v="100"/>
    <x v="0"/>
  </r>
  <r>
    <s v="S017"/>
    <x v="16"/>
    <s v="Male"/>
    <n v="21"/>
    <x v="2"/>
    <x v="0"/>
    <x v="4"/>
    <n v="71"/>
    <n v="57"/>
    <n v="100"/>
    <x v="2"/>
  </r>
  <r>
    <s v="S018"/>
    <x v="17"/>
    <s v="Female"/>
    <n v="20"/>
    <x v="0"/>
    <x v="1"/>
    <x v="5"/>
    <n v="96"/>
    <n v="94"/>
    <n v="100"/>
    <x v="0"/>
  </r>
  <r>
    <s v="S019"/>
    <x v="18"/>
    <s v="Male"/>
    <n v="22"/>
    <x v="3"/>
    <x v="3"/>
    <x v="0"/>
    <n v="69"/>
    <n v="51"/>
    <n v="100"/>
    <x v="2"/>
  </r>
  <r>
    <s v="S020"/>
    <x v="19"/>
    <s v="Female"/>
    <n v="21"/>
    <x v="1"/>
    <x v="2"/>
    <x v="2"/>
    <n v="84"/>
    <n v="76"/>
    <n v="100"/>
    <x v="1"/>
  </r>
  <r>
    <s v="S021"/>
    <x v="20"/>
    <s v="Male"/>
    <n v="20"/>
    <x v="0"/>
    <x v="0"/>
    <x v="3"/>
    <n v="78"/>
    <n v="67"/>
    <n v="100"/>
    <x v="1"/>
  </r>
  <r>
    <s v="S022"/>
    <x v="21"/>
    <s v="Female"/>
    <n v="22"/>
    <x v="2"/>
    <x v="1"/>
    <x v="1"/>
    <n v="90"/>
    <n v="83"/>
    <n v="100"/>
    <x v="0"/>
  </r>
  <r>
    <s v="S023"/>
    <x v="22"/>
    <s v="Male"/>
    <n v="21"/>
    <x v="3"/>
    <x v="2"/>
    <x v="4"/>
    <n v="73"/>
    <n v="61"/>
    <n v="100"/>
    <x v="1"/>
  </r>
  <r>
    <s v="S024"/>
    <x v="23"/>
    <s v="Female"/>
    <n v="20"/>
    <x v="0"/>
    <x v="3"/>
    <x v="5"/>
    <n v="97"/>
    <n v="92"/>
    <n v="100"/>
    <x v="0"/>
  </r>
  <r>
    <s v="S025"/>
    <x v="24"/>
    <s v="Male"/>
    <n v="22"/>
    <x v="1"/>
    <x v="1"/>
    <x v="0"/>
    <n v="66"/>
    <n v="49"/>
    <n v="100"/>
    <x v="3"/>
  </r>
  <r>
    <s v="S026"/>
    <x v="25"/>
    <s v="Female"/>
    <n v="21"/>
    <x v="2"/>
    <x v="0"/>
    <x v="2"/>
    <n v="86"/>
    <n v="79"/>
    <n v="100"/>
    <x v="1"/>
  </r>
  <r>
    <s v="S027"/>
    <x v="26"/>
    <s v="Male"/>
    <n v="20"/>
    <x v="0"/>
    <x v="2"/>
    <x v="1"/>
    <n v="75"/>
    <n v="58"/>
    <n v="100"/>
    <x v="2"/>
  </r>
  <r>
    <s v="S028"/>
    <x v="27"/>
    <s v="Female"/>
    <n v="22"/>
    <x v="3"/>
    <x v="3"/>
    <x v="3"/>
    <n v="92"/>
    <n v="87"/>
    <n v="100"/>
    <x v="0"/>
  </r>
  <r>
    <s v="S029"/>
    <x v="28"/>
    <s v="Male"/>
    <n v="21"/>
    <x v="1"/>
    <x v="0"/>
    <x v="4"/>
    <n v="80"/>
    <n v="72"/>
    <n v="100"/>
    <x v="1"/>
  </r>
  <r>
    <s v="S030"/>
    <x v="29"/>
    <s v="Female"/>
    <n v="20"/>
    <x v="0"/>
    <x v="1"/>
    <x v="5"/>
    <n v="98"/>
    <n v="96"/>
    <n v="100"/>
    <x v="0"/>
  </r>
  <r>
    <s v="S031"/>
    <x v="30"/>
    <s v="Male"/>
    <n v="22"/>
    <x v="2"/>
    <x v="2"/>
    <x v="0"/>
    <n v="70"/>
    <n v="54"/>
    <n v="100"/>
    <x v="2"/>
  </r>
  <r>
    <s v="S032"/>
    <x v="31"/>
    <s v="Female"/>
    <n v="21"/>
    <x v="3"/>
    <x v="1"/>
    <x v="1"/>
    <n v="85"/>
    <n v="77"/>
    <n v="100"/>
    <x v="1"/>
  </r>
  <r>
    <s v="S033"/>
    <x v="32"/>
    <s v="Male"/>
    <n v="20"/>
    <x v="0"/>
    <x v="3"/>
    <x v="2"/>
    <n v="82"/>
    <n v="75"/>
    <n v="100"/>
    <x v="1"/>
  </r>
  <r>
    <s v="S034"/>
    <x v="33"/>
    <s v="Female"/>
    <n v="22"/>
    <x v="1"/>
    <x v="0"/>
    <x v="3"/>
    <n v="94"/>
    <n v="89"/>
    <n v="100"/>
    <x v="0"/>
  </r>
  <r>
    <s v="S035"/>
    <x v="34"/>
    <s v="Male"/>
    <n v="21"/>
    <x v="2"/>
    <x v="1"/>
    <x v="4"/>
    <n v="67"/>
    <n v="46"/>
    <n v="100"/>
    <x v="3"/>
  </r>
  <r>
    <s v="S036"/>
    <x v="35"/>
    <s v="Female"/>
    <n v="20"/>
    <x v="0"/>
    <x v="2"/>
    <x v="5"/>
    <n v="88"/>
    <n v="81"/>
    <n v="100"/>
    <x v="0"/>
  </r>
  <r>
    <s v="S037"/>
    <x v="36"/>
    <s v="Male"/>
    <n v="22"/>
    <x v="3"/>
    <x v="3"/>
    <x v="0"/>
    <n v="77"/>
    <n v="63"/>
    <n v="100"/>
    <x v="1"/>
  </r>
  <r>
    <s v="S038"/>
    <x v="37"/>
    <s v="Female"/>
    <n v="21"/>
    <x v="1"/>
    <x v="1"/>
    <x v="2"/>
    <n v="91"/>
    <n v="84"/>
    <n v="100"/>
    <x v="0"/>
  </r>
  <r>
    <s v="S039"/>
    <x v="38"/>
    <s v="Male"/>
    <n v="20"/>
    <x v="0"/>
    <x v="0"/>
    <x v="1"/>
    <n v="64"/>
    <n v="43"/>
    <n v="100"/>
    <x v="3"/>
  </r>
  <r>
    <s v="S040"/>
    <x v="39"/>
    <s v="Female"/>
    <n v="22"/>
    <x v="2"/>
    <x v="2"/>
    <x v="3"/>
    <n v="89"/>
    <n v="78"/>
    <n v="100"/>
    <x v="1"/>
  </r>
  <r>
    <s v="S041"/>
    <x v="40"/>
    <s v="Male"/>
    <n v="21"/>
    <x v="3"/>
    <x v="1"/>
    <x v="4"/>
    <n v="72"/>
    <n v="56"/>
    <n v="100"/>
    <x v="2"/>
  </r>
  <r>
    <s v="S042"/>
    <x v="41"/>
    <s v="Female"/>
    <n v="20"/>
    <x v="0"/>
    <x v="3"/>
    <x v="5"/>
    <n v="95"/>
    <n v="93"/>
    <n v="100"/>
    <x v="0"/>
  </r>
  <r>
    <s v="S043"/>
    <x v="42"/>
    <s v="Male"/>
    <n v="22"/>
    <x v="1"/>
    <x v="0"/>
    <x v="0"/>
    <n v="83"/>
    <n v="74"/>
    <n v="100"/>
    <x v="1"/>
  </r>
  <r>
    <s v="S044"/>
    <x v="43"/>
    <s v="Female"/>
    <n v="21"/>
    <x v="2"/>
    <x v="1"/>
    <x v="1"/>
    <n v="87"/>
    <n v="80"/>
    <n v="100"/>
    <x v="0"/>
  </r>
  <r>
    <s v="S045"/>
    <x v="44"/>
    <s v="Male"/>
    <n v="20"/>
    <x v="0"/>
    <x v="2"/>
    <x v="2"/>
    <n v="69"/>
    <n v="50"/>
    <n v="100"/>
    <x v="2"/>
  </r>
  <r>
    <s v="S046"/>
    <x v="45"/>
    <s v="Female"/>
    <n v="22"/>
    <x v="3"/>
    <x v="3"/>
    <x v="3"/>
    <n v="93"/>
    <n v="86"/>
    <n v="100"/>
    <x v="0"/>
  </r>
  <r>
    <s v="S047"/>
    <x v="46"/>
    <s v="Male"/>
    <n v="21"/>
    <x v="1"/>
    <x v="1"/>
    <x v="4"/>
    <n v="76"/>
    <n v="65"/>
    <n v="100"/>
    <x v="1"/>
  </r>
  <r>
    <s v="S048"/>
    <x v="47"/>
    <s v="Female"/>
    <n v="20"/>
    <x v="0"/>
    <x v="0"/>
    <x v="5"/>
    <n v="99"/>
    <n v="97"/>
    <n v="100"/>
    <x v="0"/>
  </r>
  <r>
    <s v="S049"/>
    <x v="48"/>
    <s v="Male"/>
    <n v="22"/>
    <x v="2"/>
    <x v="2"/>
    <x v="0"/>
    <n v="61"/>
    <n v="44"/>
    <n v="100"/>
    <x v="3"/>
  </r>
  <r>
    <s v="S050"/>
    <x v="49"/>
    <s v="Female"/>
    <n v="21"/>
    <x v="3"/>
    <x v="1"/>
    <x v="2"/>
    <n v="90"/>
    <n v="82"/>
    <n v="1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1"/>
    <x v="0"/>
    <n v="50000"/>
    <n v="50000"/>
    <x v="0"/>
    <x v="0"/>
  </r>
  <r>
    <n v="102"/>
    <x v="1"/>
    <n v="50000"/>
    <n v="40000"/>
    <x v="1"/>
    <x v="1"/>
  </r>
  <r>
    <n v="103"/>
    <x v="2"/>
    <n v="45000"/>
    <n v="30000"/>
    <x v="2"/>
    <x v="1"/>
  </r>
  <r>
    <n v="104"/>
    <x v="3"/>
    <n v="55000"/>
    <n v="55000"/>
    <x v="0"/>
    <x v="0"/>
  </r>
  <r>
    <n v="105"/>
    <x v="4"/>
    <n v="45000"/>
    <n v="35000"/>
    <x v="1"/>
    <x v="1"/>
  </r>
  <r>
    <n v="106"/>
    <x v="5"/>
    <n v="50000"/>
    <n v="50000"/>
    <x v="0"/>
    <x v="0"/>
  </r>
  <r>
    <n v="107"/>
    <x v="6"/>
    <n v="50000"/>
    <n v="45000"/>
    <x v="3"/>
    <x v="1"/>
  </r>
  <r>
    <n v="108"/>
    <x v="7"/>
    <n v="55000"/>
    <n v="55000"/>
    <x v="0"/>
    <x v="0"/>
  </r>
  <r>
    <n v="109"/>
    <x v="8"/>
    <n v="50000"/>
    <n v="40000"/>
    <x v="1"/>
    <x v="1"/>
  </r>
  <r>
    <n v="110"/>
    <x v="9"/>
    <n v="45000"/>
    <n v="30000"/>
    <x v="2"/>
    <x v="1"/>
  </r>
  <r>
    <n v="111"/>
    <x v="10"/>
    <n v="50000"/>
    <n v="50000"/>
    <x v="0"/>
    <x v="0"/>
  </r>
  <r>
    <n v="112"/>
    <x v="11"/>
    <n v="50000"/>
    <n v="45000"/>
    <x v="3"/>
    <x v="1"/>
  </r>
  <r>
    <n v="113"/>
    <x v="12"/>
    <n v="55000"/>
    <n v="40000"/>
    <x v="2"/>
    <x v="1"/>
  </r>
  <r>
    <n v="114"/>
    <x v="13"/>
    <n v="45000"/>
    <n v="30000"/>
    <x v="2"/>
    <x v="1"/>
  </r>
  <r>
    <n v="115"/>
    <x v="14"/>
    <n v="50000"/>
    <n v="50000"/>
    <x v="0"/>
    <x v="0"/>
  </r>
  <r>
    <n v="116"/>
    <x v="15"/>
    <n v="50000"/>
    <n v="50000"/>
    <x v="0"/>
    <x v="0"/>
  </r>
  <r>
    <n v="117"/>
    <x v="16"/>
    <n v="55000"/>
    <n v="45000"/>
    <x v="1"/>
    <x v="1"/>
  </r>
  <r>
    <n v="118"/>
    <x v="17"/>
    <n v="50000"/>
    <n v="50000"/>
    <x v="0"/>
    <x v="0"/>
  </r>
  <r>
    <n v="119"/>
    <x v="18"/>
    <n v="45000"/>
    <n v="35000"/>
    <x v="1"/>
    <x v="1"/>
  </r>
  <r>
    <n v="120"/>
    <x v="19"/>
    <n v="50000"/>
    <n v="50000"/>
    <x v="0"/>
    <x v="0"/>
  </r>
  <r>
    <n v="121"/>
    <x v="20"/>
    <n v="50000"/>
    <n v="40000"/>
    <x v="1"/>
    <x v="1"/>
  </r>
  <r>
    <n v="122"/>
    <x v="21"/>
    <n v="55000"/>
    <n v="55000"/>
    <x v="0"/>
    <x v="0"/>
  </r>
  <r>
    <n v="123"/>
    <x v="22"/>
    <n v="45000"/>
    <n v="40000"/>
    <x v="3"/>
    <x v="1"/>
  </r>
  <r>
    <n v="124"/>
    <x v="23"/>
    <n v="50000"/>
    <n v="50000"/>
    <x v="0"/>
    <x v="0"/>
  </r>
  <r>
    <n v="125"/>
    <x v="24"/>
    <n v="50000"/>
    <n v="30000"/>
    <x v="4"/>
    <x v="1"/>
  </r>
  <r>
    <n v="126"/>
    <x v="25"/>
    <n v="55000"/>
    <n v="45000"/>
    <x v="1"/>
    <x v="1"/>
  </r>
  <r>
    <n v="127"/>
    <x v="26"/>
    <n v="50000"/>
    <n v="40000"/>
    <x v="1"/>
    <x v="1"/>
  </r>
  <r>
    <n v="128"/>
    <x v="27"/>
    <n v="45000"/>
    <n v="45000"/>
    <x v="0"/>
    <x v="0"/>
  </r>
  <r>
    <n v="129"/>
    <x v="28"/>
    <n v="50000"/>
    <n v="50000"/>
    <x v="0"/>
    <x v="0"/>
  </r>
  <r>
    <n v="130"/>
    <x v="29"/>
    <n v="55000"/>
    <n v="55000"/>
    <x v="0"/>
    <x v="0"/>
  </r>
  <r>
    <n v="131"/>
    <x v="30"/>
    <n v="50000"/>
    <n v="35000"/>
    <x v="2"/>
    <x v="1"/>
  </r>
  <r>
    <n v="132"/>
    <x v="31"/>
    <n v="45000"/>
    <n v="40000"/>
    <x v="3"/>
    <x v="1"/>
  </r>
  <r>
    <n v="133"/>
    <x v="32"/>
    <n v="50000"/>
    <n v="50000"/>
    <x v="0"/>
    <x v="0"/>
  </r>
  <r>
    <n v="134"/>
    <x v="33"/>
    <n v="55000"/>
    <n v="50000"/>
    <x v="3"/>
    <x v="1"/>
  </r>
  <r>
    <n v="135"/>
    <x v="34"/>
    <n v="50000"/>
    <n v="30000"/>
    <x v="4"/>
    <x v="1"/>
  </r>
  <r>
    <n v="136"/>
    <x v="35"/>
    <n v="45000"/>
    <n v="45000"/>
    <x v="0"/>
    <x v="0"/>
  </r>
  <r>
    <n v="137"/>
    <x v="36"/>
    <n v="50000"/>
    <n v="40000"/>
    <x v="1"/>
    <x v="1"/>
  </r>
  <r>
    <n v="138"/>
    <x v="37"/>
    <n v="55000"/>
    <n v="55000"/>
    <x v="0"/>
    <x v="0"/>
  </r>
  <r>
    <n v="139"/>
    <x v="38"/>
    <n v="50000"/>
    <n v="30000"/>
    <x v="4"/>
    <x v="1"/>
  </r>
  <r>
    <n v="140"/>
    <x v="39"/>
    <n v="45000"/>
    <n v="40000"/>
    <x v="3"/>
    <x v="1"/>
  </r>
  <r>
    <n v="141"/>
    <x v="40"/>
    <n v="50000"/>
    <n v="35000"/>
    <x v="2"/>
    <x v="1"/>
  </r>
  <r>
    <n v="142"/>
    <x v="41"/>
    <n v="55000"/>
    <n v="55000"/>
    <x v="0"/>
    <x v="0"/>
  </r>
  <r>
    <n v="143"/>
    <x v="42"/>
    <n v="50000"/>
    <n v="50000"/>
    <x v="0"/>
    <x v="0"/>
  </r>
  <r>
    <n v="144"/>
    <x v="43"/>
    <n v="55000"/>
    <n v="50000"/>
    <x v="3"/>
    <x v="1"/>
  </r>
  <r>
    <n v="145"/>
    <x v="44"/>
    <n v="45000"/>
    <n v="30000"/>
    <x v="2"/>
    <x v="1"/>
  </r>
  <r>
    <n v="146"/>
    <x v="45"/>
    <n v="50000"/>
    <n v="50000"/>
    <x v="0"/>
    <x v="0"/>
  </r>
  <r>
    <n v="147"/>
    <x v="46"/>
    <n v="50000"/>
    <n v="40000"/>
    <x v="1"/>
    <x v="1"/>
  </r>
  <r>
    <n v="148"/>
    <x v="47"/>
    <n v="55000"/>
    <n v="55000"/>
    <x v="0"/>
    <x v="0"/>
  </r>
  <r>
    <n v="149"/>
    <x v="48"/>
    <n v="50000"/>
    <n v="30000"/>
    <x v="4"/>
    <x v="1"/>
  </r>
  <r>
    <n v="150"/>
    <x v="49"/>
    <n v="45000"/>
    <n v="4500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49D7D-6B56-48F6-93CC-EA33033FA61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1">
    <pivotField showAll="0"/>
    <pivotField dataField="1" showAll="0">
      <items count="51">
        <item x="22"/>
        <item x="10"/>
        <item x="5"/>
        <item x="45"/>
        <item x="2"/>
        <item x="19"/>
        <item x="31"/>
        <item x="44"/>
        <item x="27"/>
        <item x="7"/>
        <item x="38"/>
        <item x="23"/>
        <item x="40"/>
        <item x="20"/>
        <item x="11"/>
        <item x="29"/>
        <item x="4"/>
        <item x="21"/>
        <item x="37"/>
        <item x="42"/>
        <item x="18"/>
        <item x="13"/>
        <item x="47"/>
        <item x="24"/>
        <item x="35"/>
        <item x="15"/>
        <item x="25"/>
        <item x="9"/>
        <item x="36"/>
        <item x="1"/>
        <item x="0"/>
        <item x="34"/>
        <item x="26"/>
        <item x="12"/>
        <item x="46"/>
        <item x="6"/>
        <item x="48"/>
        <item x="39"/>
        <item x="3"/>
        <item x="33"/>
        <item x="43"/>
        <item x="14"/>
        <item x="28"/>
        <item x="17"/>
        <item x="49"/>
        <item x="32"/>
        <item x="41"/>
        <item x="30"/>
        <item x="16"/>
        <item x="8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name" fld="1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D8B06-8AA7-4A7D-9A1A-F1E70584C96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endance_percent" fld="7" subtotal="average" baseField="4" baseItem="0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CF1DD-F510-4A68-8EC9-78AB3CC4AA7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0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EF6B0-8051-40B4-B043-C406BA49838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35541-9108-4619-9108-7FC2B03AF94C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0" firstHeaderRow="1" firstDataRow="1" firstDataCol="1"/>
  <pivotFields count="11">
    <pivotField dataField="1"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7">
        <item x="1"/>
        <item x="2"/>
        <item x="3"/>
        <item x="0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DDC87-49A4-4841-913C-4E31E9F0E9D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>
      <items count="7">
        <item x="1"/>
        <item x="2"/>
        <item x="3"/>
        <item x="0"/>
        <item x="4"/>
        <item x="5"/>
        <item t="default"/>
      </items>
    </pivotField>
    <pivotField showAll="0"/>
    <pivotField dataField="1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tudent_id" fld="0" subtotal="count" baseField="0" baseItem="0"/>
    <dataField name="Sum of Mark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E7F56-1262-4B2F-A996-9B34971B37CF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6">
    <pivotField showAll="0"/>
    <pivotField dataField="1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Student_ID" fld="1" subtotal="count" baseField="0" baseItem="0"/>
  </dataFields>
  <chartFormats count="3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BD2D5-151F-4527-8AB4-B5E183DB961C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ending_Fees" fld="0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A36A0A-42E1-4EDE-86E1-42D3BEAA2BB7}" name="Table2" displayName="Table2" ref="A1:L51" totalsRowShown="0">
  <autoFilter ref="A1:L51" xr:uid="{0DA36A0A-42E1-4EDE-86E1-42D3BEAA2BB7}"/>
  <tableColumns count="12">
    <tableColumn id="1" xr3:uid="{193EA15C-C2EF-4F96-B531-72453C9856B1}" name="Student_id"/>
    <tableColumn id="2" xr3:uid="{8EDB79A2-644A-4080-BC1B-8D5D8A1F6E01}" name="Student_name"/>
    <tableColumn id="3" xr3:uid="{DEDDA1DB-8729-40BD-AB8E-338265D1CE2E}" name="Gender"/>
    <tableColumn id="4" xr3:uid="{C9BF5E02-CC6E-4A49-8839-E7C8F5083DA6}" name="Age"/>
    <tableColumn id="5" xr3:uid="{704ED295-0208-4D72-B2C0-59630A7D11A5}" name="Department"/>
    <tableColumn id="6" xr3:uid="{34FB029E-6EDA-4DCA-83DE-7C715E7F9A7F}" name="Cource"/>
    <tableColumn id="7" xr3:uid="{4CB205B4-3878-4052-AB6C-DD0F4B6ACB7F}" name="City"/>
    <tableColumn id="8" xr3:uid="{E6CC0CCA-E797-4227-8408-C2428D96AEC8}" name="Attendance_percent"/>
    <tableColumn id="9" xr3:uid="{9DD6CC1E-87A4-4198-9F8A-473271F681B4}" name="Marks"/>
    <tableColumn id="10" xr3:uid="{EF2E31CB-A5F5-45EB-92AA-E7F87B15DC8A}" name="Total_marks"/>
    <tableColumn id="11" xr3:uid="{63B83056-174A-41C3-A253-A7254DD942EA}" name="Grade"/>
    <tableColumn id="12" xr3:uid="{5F1FA7A6-DB0F-46AB-9DAC-964AA81F73A3}" name="Marks_percentage" dataDxfId="1">
      <calculatedColumnFormula>Table2[[#This Row],[Marks]]/Table2[[#This Row],[Total_marks]]*100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CAC2F-7CA8-4978-84F7-4A6B98FC4686}" name="Table1" displayName="Table1" ref="A1:F51" totalsRowShown="0">
  <autoFilter ref="A1:F51" xr:uid="{2EACAC2F-7CA8-4978-84F7-4A6B98FC4686}"/>
  <tableColumns count="6">
    <tableColumn id="1" xr3:uid="{78A937DF-866A-4A30-BEC4-56B2253070B8}" name="Fee_ID"/>
    <tableColumn id="2" xr3:uid="{D8E84D24-D59B-43C2-8103-7C2F2D798CC9}" name="Student_ID"/>
    <tableColumn id="3" xr3:uid="{52D9DE2B-BC1F-4AA7-975B-C78DC5D75E39}" name="Total_fees"/>
    <tableColumn id="4" xr3:uid="{C0F4CE7C-E2C6-4A3D-9D07-94EE3206D534}" name="Paid_Fees"/>
    <tableColumn id="5" xr3:uid="{42B04559-F264-41B4-8564-D13B136F60CD}" name="Pending_Fees"/>
    <tableColumn id="6" xr3:uid="{8E1D916D-2CF1-46D9-8987-C2232DAB85DB}" name="Payment_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9535A2-0153-4CE9-B1B6-019292F36D28}" name="Table5" displayName="Table5" ref="A3:B9" totalsRowShown="0">
  <autoFilter ref="A3:B9" xr:uid="{089535A2-0153-4CE9-B1B6-019292F36D28}"/>
  <tableColumns count="2">
    <tableColumn id="1" xr3:uid="{C7E9D370-D310-4F45-8D1F-3DF5CB4AEB85}" name="Column1"/>
    <tableColumn id="2" xr3:uid="{FAB2E3F2-1C1D-4506-A742-8405069CDAF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F0275-E9D8-4CF0-964E-1C8E9793B264}">
  <dimension ref="A3:B8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21.1796875" bestFit="1" customWidth="1"/>
    <col min="3" max="3" width="15.54296875" bestFit="1" customWidth="1"/>
  </cols>
  <sheetData>
    <row r="3" spans="1:2" x14ac:dyDescent="0.35">
      <c r="A3" s="1" t="s">
        <v>141</v>
      </c>
      <c r="B3" t="s">
        <v>143</v>
      </c>
    </row>
    <row r="4" spans="1:2" x14ac:dyDescent="0.35">
      <c r="A4" s="2" t="s">
        <v>3</v>
      </c>
      <c r="B4">
        <v>17</v>
      </c>
    </row>
    <row r="5" spans="1:2" x14ac:dyDescent="0.35">
      <c r="A5" s="2" t="s">
        <v>10</v>
      </c>
      <c r="B5">
        <v>11</v>
      </c>
    </row>
    <row r="6" spans="1:2" x14ac:dyDescent="0.35">
      <c r="A6" s="2" t="s">
        <v>21</v>
      </c>
      <c r="B6">
        <v>11</v>
      </c>
    </row>
    <row r="7" spans="1:2" x14ac:dyDescent="0.35">
      <c r="A7" s="2" t="s">
        <v>26</v>
      </c>
      <c r="B7">
        <v>11</v>
      </c>
    </row>
    <row r="8" spans="1:2" x14ac:dyDescent="0.35">
      <c r="A8" s="2" t="s">
        <v>142</v>
      </c>
      <c r="B8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B198-AF6E-4720-9492-3FA06E396740}">
  <dimension ref="A3:B8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27.7265625" bestFit="1" customWidth="1"/>
  </cols>
  <sheetData>
    <row r="3" spans="1:2" x14ac:dyDescent="0.35">
      <c r="A3" s="1" t="s">
        <v>141</v>
      </c>
      <c r="B3" t="s">
        <v>147</v>
      </c>
    </row>
    <row r="4" spans="1:2" x14ac:dyDescent="0.35">
      <c r="A4" s="2" t="s">
        <v>3</v>
      </c>
      <c r="B4">
        <v>84.470588235294116</v>
      </c>
    </row>
    <row r="5" spans="1:2" x14ac:dyDescent="0.35">
      <c r="A5" s="2" t="s">
        <v>10</v>
      </c>
      <c r="B5">
        <v>83.818181818181813</v>
      </c>
    </row>
    <row r="6" spans="1:2" x14ac:dyDescent="0.35">
      <c r="A6" s="2" t="s">
        <v>21</v>
      </c>
      <c r="B6">
        <v>80.818181818181813</v>
      </c>
    </row>
    <row r="7" spans="1:2" x14ac:dyDescent="0.35">
      <c r="A7" s="2" t="s">
        <v>26</v>
      </c>
      <c r="B7">
        <v>76.909090909090907</v>
      </c>
    </row>
    <row r="8" spans="1:2" x14ac:dyDescent="0.35">
      <c r="A8" s="2" t="s">
        <v>142</v>
      </c>
      <c r="B8">
        <v>81.86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A65-A5B8-45A9-82FD-6ED3BFC02EB8}">
  <dimension ref="A3:B8"/>
  <sheetViews>
    <sheetView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17.90625" bestFit="1" customWidth="1"/>
  </cols>
  <sheetData>
    <row r="3" spans="1:2" x14ac:dyDescent="0.35">
      <c r="A3" s="1" t="s">
        <v>141</v>
      </c>
      <c r="B3" t="s">
        <v>148</v>
      </c>
    </row>
    <row r="4" spans="1:2" x14ac:dyDescent="0.35">
      <c r="A4" s="2" t="s">
        <v>6</v>
      </c>
      <c r="B4">
        <v>20</v>
      </c>
    </row>
    <row r="5" spans="1:2" x14ac:dyDescent="0.35">
      <c r="A5" s="2" t="s">
        <v>13</v>
      </c>
      <c r="B5">
        <v>15</v>
      </c>
    </row>
    <row r="6" spans="1:2" x14ac:dyDescent="0.35">
      <c r="A6" s="2" t="s">
        <v>18</v>
      </c>
      <c r="B6">
        <v>9</v>
      </c>
    </row>
    <row r="7" spans="1:2" x14ac:dyDescent="0.35">
      <c r="A7" s="2" t="s">
        <v>28</v>
      </c>
      <c r="B7">
        <v>6</v>
      </c>
    </row>
    <row r="8" spans="1:2" x14ac:dyDescent="0.35">
      <c r="A8" s="2" t="s">
        <v>142</v>
      </c>
      <c r="B8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3B81-087F-4BA4-9B78-F62B5A7F8562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7.90625" bestFit="1" customWidth="1"/>
  </cols>
  <sheetData>
    <row r="3" spans="1:2" x14ac:dyDescent="0.35">
      <c r="A3" s="1" t="s">
        <v>141</v>
      </c>
      <c r="B3" t="s">
        <v>148</v>
      </c>
    </row>
    <row r="4" spans="1:2" x14ac:dyDescent="0.35">
      <c r="A4" s="2" t="s">
        <v>6</v>
      </c>
      <c r="B4">
        <v>20</v>
      </c>
    </row>
    <row r="5" spans="1:2" x14ac:dyDescent="0.35">
      <c r="A5" s="2" t="s">
        <v>13</v>
      </c>
      <c r="B5">
        <v>15</v>
      </c>
    </row>
    <row r="6" spans="1:2" x14ac:dyDescent="0.35">
      <c r="A6" s="2" t="s">
        <v>18</v>
      </c>
      <c r="B6">
        <v>9</v>
      </c>
    </row>
    <row r="7" spans="1:2" x14ac:dyDescent="0.35">
      <c r="A7" s="2" t="s">
        <v>28</v>
      </c>
      <c r="B7">
        <v>6</v>
      </c>
    </row>
    <row r="8" spans="1:2" x14ac:dyDescent="0.35">
      <c r="A8" s="2" t="s">
        <v>142</v>
      </c>
      <c r="B8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FC05-BF4C-41E7-9C80-05CA6F475CB3}">
  <dimension ref="A3:B10"/>
  <sheetViews>
    <sheetView workbookViewId="0">
      <selection activeCell="B9" sqref="B9"/>
    </sheetView>
  </sheetViews>
  <sheetFormatPr defaultRowHeight="14.5" x14ac:dyDescent="0.35"/>
  <cols>
    <col min="1" max="1" width="12.36328125" bestFit="1" customWidth="1"/>
    <col min="2" max="2" width="17.90625" bestFit="1" customWidth="1"/>
  </cols>
  <sheetData>
    <row r="3" spans="1:2" x14ac:dyDescent="0.35">
      <c r="A3" s="1" t="s">
        <v>141</v>
      </c>
      <c r="B3" t="s">
        <v>148</v>
      </c>
    </row>
    <row r="4" spans="1:2" x14ac:dyDescent="0.35">
      <c r="A4" s="2" t="s">
        <v>12</v>
      </c>
      <c r="B4">
        <v>8</v>
      </c>
    </row>
    <row r="5" spans="1:2" x14ac:dyDescent="0.35">
      <c r="A5" s="2" t="s">
        <v>17</v>
      </c>
      <c r="B5">
        <v>9</v>
      </c>
    </row>
    <row r="6" spans="1:2" x14ac:dyDescent="0.35">
      <c r="A6" s="2" t="s">
        <v>23</v>
      </c>
      <c r="B6">
        <v>8</v>
      </c>
    </row>
    <row r="7" spans="1:2" x14ac:dyDescent="0.35">
      <c r="A7" s="2" t="s">
        <v>5</v>
      </c>
      <c r="B7">
        <v>9</v>
      </c>
    </row>
    <row r="8" spans="1:2" x14ac:dyDescent="0.35">
      <c r="A8" s="2" t="s">
        <v>27</v>
      </c>
      <c r="B8">
        <v>8</v>
      </c>
    </row>
    <row r="9" spans="1:2" x14ac:dyDescent="0.35">
      <c r="A9" s="2" t="s">
        <v>31</v>
      </c>
      <c r="B9">
        <v>8</v>
      </c>
    </row>
    <row r="10" spans="1:2" x14ac:dyDescent="0.35">
      <c r="A10" s="2" t="s">
        <v>142</v>
      </c>
      <c r="B10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3EF5-5131-462B-8D86-8D6558FB2CDF}">
  <dimension ref="A3:C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7.90625" bestFit="1" customWidth="1"/>
    <col min="3" max="4" width="12.36328125" bestFit="1" customWidth="1"/>
  </cols>
  <sheetData>
    <row r="3" spans="1:3" x14ac:dyDescent="0.35">
      <c r="A3" s="1" t="s">
        <v>141</v>
      </c>
      <c r="B3" t="s">
        <v>148</v>
      </c>
      <c r="C3" t="s">
        <v>144</v>
      </c>
    </row>
    <row r="4" spans="1:3" x14ac:dyDescent="0.35">
      <c r="A4" s="2" t="s">
        <v>16</v>
      </c>
      <c r="B4">
        <v>12</v>
      </c>
      <c r="C4">
        <v>753</v>
      </c>
    </row>
    <row r="5" spans="1:3" x14ac:dyDescent="0.35">
      <c r="A5" s="2" t="s">
        <v>22</v>
      </c>
      <c r="B5">
        <v>11</v>
      </c>
      <c r="C5">
        <v>870</v>
      </c>
    </row>
    <row r="6" spans="1:3" x14ac:dyDescent="0.35">
      <c r="A6" s="2" t="s">
        <v>4</v>
      </c>
      <c r="B6">
        <v>11</v>
      </c>
      <c r="C6">
        <v>831</v>
      </c>
    </row>
    <row r="7" spans="1:3" x14ac:dyDescent="0.35">
      <c r="A7" s="2" t="s">
        <v>11</v>
      </c>
      <c r="B7">
        <v>16</v>
      </c>
      <c r="C7">
        <v>1130</v>
      </c>
    </row>
    <row r="8" spans="1:3" x14ac:dyDescent="0.35">
      <c r="A8" s="2" t="s">
        <v>142</v>
      </c>
      <c r="B8">
        <v>50</v>
      </c>
      <c r="C8">
        <v>3584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5073-667A-459D-BE57-F454111FFB25}">
  <dimension ref="A1:M51"/>
  <sheetViews>
    <sheetView workbookViewId="0">
      <selection activeCell="K51" sqref="A1:K51"/>
    </sheetView>
  </sheetViews>
  <sheetFormatPr defaultRowHeight="14.5" x14ac:dyDescent="0.35"/>
  <cols>
    <col min="1" max="1" width="12" customWidth="1"/>
    <col min="2" max="2" width="15.1796875" customWidth="1"/>
    <col min="3" max="3" width="9" customWidth="1"/>
    <col min="4" max="4" width="5.90625" customWidth="1"/>
    <col min="5" max="5" width="13.08984375" customWidth="1"/>
    <col min="6" max="6" width="8.6328125" customWidth="1"/>
    <col min="7" max="7" width="10" bestFit="1" customWidth="1"/>
    <col min="8" max="8" width="20" customWidth="1"/>
    <col min="9" max="9" width="8.08984375" customWidth="1"/>
    <col min="10" max="10" width="13.26953125" customWidth="1"/>
    <col min="11" max="11" width="7.90625" customWidth="1"/>
    <col min="12" max="12" width="14" customWidth="1"/>
  </cols>
  <sheetData>
    <row r="1" spans="1:13" x14ac:dyDescent="0.3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129</v>
      </c>
      <c r="J1" t="s">
        <v>128</v>
      </c>
      <c r="K1" t="s">
        <v>130</v>
      </c>
      <c r="L1" t="s">
        <v>145</v>
      </c>
      <c r="M1" t="s">
        <v>146</v>
      </c>
    </row>
    <row r="2" spans="1:13" x14ac:dyDescent="0.35">
      <c r="A2" t="s">
        <v>0</v>
      </c>
      <c r="B2" t="s">
        <v>1</v>
      </c>
      <c r="C2" t="s">
        <v>2</v>
      </c>
      <c r="D2">
        <v>20</v>
      </c>
      <c r="E2" t="s">
        <v>3</v>
      </c>
      <c r="F2" t="s">
        <v>4</v>
      </c>
      <c r="G2" t="s">
        <v>5</v>
      </c>
      <c r="H2">
        <v>92</v>
      </c>
      <c r="I2">
        <v>85</v>
      </c>
      <c r="J2">
        <v>100</v>
      </c>
      <c r="K2" t="s">
        <v>6</v>
      </c>
      <c r="L2">
        <f>Table2[[#This Row],[Marks]]/Table2[[#This Row],[Total_marks]]*100</f>
        <v>85</v>
      </c>
      <c r="M2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3" spans="1:13" x14ac:dyDescent="0.35">
      <c r="A3" t="s">
        <v>7</v>
      </c>
      <c r="B3" t="s">
        <v>8</v>
      </c>
      <c r="C3" t="s">
        <v>9</v>
      </c>
      <c r="D3">
        <v>21</v>
      </c>
      <c r="E3" t="s">
        <v>10</v>
      </c>
      <c r="F3" t="s">
        <v>11</v>
      </c>
      <c r="G3" t="s">
        <v>12</v>
      </c>
      <c r="H3">
        <v>88</v>
      </c>
      <c r="I3">
        <v>78</v>
      </c>
      <c r="J3">
        <v>100</v>
      </c>
      <c r="K3" t="s">
        <v>13</v>
      </c>
      <c r="L3">
        <f>Table2[[#This Row],[Marks]]/Table2[[#This Row],[Total_marks]]*100</f>
        <v>78</v>
      </c>
      <c r="M3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4" spans="1:13" x14ac:dyDescent="0.35">
      <c r="A4" t="s">
        <v>14</v>
      </c>
      <c r="B4" t="s">
        <v>15</v>
      </c>
      <c r="C4" t="s">
        <v>2</v>
      </c>
      <c r="D4">
        <v>20</v>
      </c>
      <c r="E4" t="s">
        <v>3</v>
      </c>
      <c r="F4" t="s">
        <v>16</v>
      </c>
      <c r="G4" t="s">
        <v>17</v>
      </c>
      <c r="H4">
        <v>72</v>
      </c>
      <c r="I4">
        <v>55</v>
      </c>
      <c r="J4">
        <v>100</v>
      </c>
      <c r="K4" t="s">
        <v>18</v>
      </c>
      <c r="L4">
        <f>Table2[[#This Row],[Marks]]/Table2[[#This Row],[Total_marks]]*100</f>
        <v>55.000000000000007</v>
      </c>
      <c r="M4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5" spans="1:13" x14ac:dyDescent="0.35">
      <c r="A5" t="s">
        <v>19</v>
      </c>
      <c r="B5" t="s">
        <v>20</v>
      </c>
      <c r="C5" t="s">
        <v>9</v>
      </c>
      <c r="D5">
        <v>22</v>
      </c>
      <c r="E5" t="s">
        <v>21</v>
      </c>
      <c r="F5" t="s">
        <v>22</v>
      </c>
      <c r="G5" t="s">
        <v>23</v>
      </c>
      <c r="H5">
        <v>95</v>
      </c>
      <c r="I5">
        <v>91</v>
      </c>
      <c r="J5">
        <v>100</v>
      </c>
      <c r="K5" t="s">
        <v>6</v>
      </c>
      <c r="L5">
        <f>Table2[[#This Row],[Marks]]/Table2[[#This Row],[Total_marks]]*100</f>
        <v>91</v>
      </c>
      <c r="M5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6" spans="1:13" x14ac:dyDescent="0.35">
      <c r="A6" t="s">
        <v>24</v>
      </c>
      <c r="B6" t="s">
        <v>25</v>
      </c>
      <c r="C6" t="s">
        <v>2</v>
      </c>
      <c r="D6">
        <v>21</v>
      </c>
      <c r="E6" t="s">
        <v>26</v>
      </c>
      <c r="F6" t="s">
        <v>11</v>
      </c>
      <c r="G6" t="s">
        <v>27</v>
      </c>
      <c r="H6">
        <v>68</v>
      </c>
      <c r="I6">
        <v>48</v>
      </c>
      <c r="J6">
        <v>100</v>
      </c>
      <c r="K6" t="s">
        <v>28</v>
      </c>
      <c r="L6">
        <f>Table2[[#This Row],[Marks]]/Table2[[#This Row],[Total_marks]]*100</f>
        <v>48</v>
      </c>
      <c r="M6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7" spans="1:13" x14ac:dyDescent="0.35">
      <c r="A7" t="s">
        <v>29</v>
      </c>
      <c r="B7" t="s">
        <v>30</v>
      </c>
      <c r="C7" t="s">
        <v>9</v>
      </c>
      <c r="D7">
        <v>20</v>
      </c>
      <c r="E7" t="s">
        <v>3</v>
      </c>
      <c r="F7" t="s">
        <v>4</v>
      </c>
      <c r="G7" t="s">
        <v>31</v>
      </c>
      <c r="H7">
        <v>89</v>
      </c>
      <c r="I7">
        <v>82</v>
      </c>
      <c r="J7">
        <v>100</v>
      </c>
      <c r="K7" t="s">
        <v>6</v>
      </c>
      <c r="L7">
        <f>Table2[[#This Row],[Marks]]/Table2[[#This Row],[Total_marks]]*100</f>
        <v>82</v>
      </c>
      <c r="M7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8" spans="1:13" x14ac:dyDescent="0.35">
      <c r="A8" t="s">
        <v>32</v>
      </c>
      <c r="B8" t="s">
        <v>33</v>
      </c>
      <c r="C8" t="s">
        <v>2</v>
      </c>
      <c r="D8">
        <v>22</v>
      </c>
      <c r="E8" t="s">
        <v>10</v>
      </c>
      <c r="F8" t="s">
        <v>16</v>
      </c>
      <c r="G8" t="s">
        <v>5</v>
      </c>
      <c r="H8">
        <v>76</v>
      </c>
      <c r="I8">
        <v>64</v>
      </c>
      <c r="J8">
        <v>100</v>
      </c>
      <c r="K8" t="s">
        <v>13</v>
      </c>
      <c r="L8">
        <f>Table2[[#This Row],[Marks]]/Table2[[#This Row],[Total_marks]]*100</f>
        <v>64</v>
      </c>
      <c r="M8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9" spans="1:13" x14ac:dyDescent="0.35">
      <c r="A9" t="s">
        <v>34</v>
      </c>
      <c r="B9" t="s">
        <v>35</v>
      </c>
      <c r="C9" t="s">
        <v>9</v>
      </c>
      <c r="D9">
        <v>21</v>
      </c>
      <c r="E9" t="s">
        <v>21</v>
      </c>
      <c r="F9" t="s">
        <v>11</v>
      </c>
      <c r="G9" t="s">
        <v>12</v>
      </c>
      <c r="H9">
        <v>94</v>
      </c>
      <c r="I9">
        <v>88</v>
      </c>
      <c r="J9">
        <v>100</v>
      </c>
      <c r="K9" t="s">
        <v>6</v>
      </c>
      <c r="L9">
        <f>Table2[[#This Row],[Marks]]/Table2[[#This Row],[Total_marks]]*100</f>
        <v>88</v>
      </c>
      <c r="M9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10" spans="1:13" x14ac:dyDescent="0.35">
      <c r="A10" t="s">
        <v>36</v>
      </c>
      <c r="B10" t="s">
        <v>37</v>
      </c>
      <c r="C10" t="s">
        <v>2</v>
      </c>
      <c r="D10">
        <v>20</v>
      </c>
      <c r="E10" t="s">
        <v>3</v>
      </c>
      <c r="F10" t="s">
        <v>22</v>
      </c>
      <c r="G10" t="s">
        <v>17</v>
      </c>
      <c r="H10">
        <v>81</v>
      </c>
      <c r="I10">
        <v>73</v>
      </c>
      <c r="J10">
        <v>100</v>
      </c>
      <c r="K10" t="s">
        <v>13</v>
      </c>
      <c r="L10">
        <f>Table2[[#This Row],[Marks]]/Table2[[#This Row],[Total_marks]]*100</f>
        <v>73</v>
      </c>
      <c r="M10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11" spans="1:13" x14ac:dyDescent="0.35">
      <c r="A11" t="s">
        <v>38</v>
      </c>
      <c r="B11" t="s">
        <v>39</v>
      </c>
      <c r="C11" t="s">
        <v>9</v>
      </c>
      <c r="D11">
        <v>22</v>
      </c>
      <c r="E11" t="s">
        <v>26</v>
      </c>
      <c r="F11" t="s">
        <v>16</v>
      </c>
      <c r="G11" t="s">
        <v>23</v>
      </c>
      <c r="H11">
        <v>65</v>
      </c>
      <c r="I11">
        <v>52</v>
      </c>
      <c r="J11">
        <v>100</v>
      </c>
      <c r="K11" t="s">
        <v>18</v>
      </c>
      <c r="L11">
        <f>Table2[[#This Row],[Marks]]/Table2[[#This Row],[Total_marks]]*100</f>
        <v>52</v>
      </c>
      <c r="M11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12" spans="1:13" x14ac:dyDescent="0.35">
      <c r="A12" t="s">
        <v>40</v>
      </c>
      <c r="B12" t="s">
        <v>41</v>
      </c>
      <c r="C12" t="s">
        <v>2</v>
      </c>
      <c r="D12">
        <v>21</v>
      </c>
      <c r="E12" t="s">
        <v>3</v>
      </c>
      <c r="F12" t="s">
        <v>11</v>
      </c>
      <c r="G12" t="s">
        <v>27</v>
      </c>
      <c r="H12">
        <v>74</v>
      </c>
      <c r="I12">
        <v>59</v>
      </c>
      <c r="J12">
        <v>100</v>
      </c>
      <c r="K12" t="s">
        <v>18</v>
      </c>
      <c r="L12">
        <f>Table2[[#This Row],[Marks]]/Table2[[#This Row],[Total_marks]]*100</f>
        <v>59</v>
      </c>
      <c r="M12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13" spans="1:13" x14ac:dyDescent="0.35">
      <c r="A13" t="s">
        <v>42</v>
      </c>
      <c r="B13" t="s">
        <v>43</v>
      </c>
      <c r="C13" t="s">
        <v>9</v>
      </c>
      <c r="D13">
        <v>20</v>
      </c>
      <c r="E13" t="s">
        <v>10</v>
      </c>
      <c r="F13" t="s">
        <v>4</v>
      </c>
      <c r="G13" t="s">
        <v>31</v>
      </c>
      <c r="H13">
        <v>91</v>
      </c>
      <c r="I13">
        <v>86</v>
      </c>
      <c r="J13">
        <v>100</v>
      </c>
      <c r="K13" t="s">
        <v>6</v>
      </c>
      <c r="L13">
        <f>Table2[[#This Row],[Marks]]/Table2[[#This Row],[Total_marks]]*100</f>
        <v>86</v>
      </c>
      <c r="M13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14" spans="1:13" x14ac:dyDescent="0.35">
      <c r="A14" t="s">
        <v>44</v>
      </c>
      <c r="B14" t="s">
        <v>45</v>
      </c>
      <c r="C14" t="s">
        <v>2</v>
      </c>
      <c r="D14">
        <v>22</v>
      </c>
      <c r="E14" t="s">
        <v>21</v>
      </c>
      <c r="F14" t="s">
        <v>22</v>
      </c>
      <c r="G14" t="s">
        <v>5</v>
      </c>
      <c r="H14">
        <v>79</v>
      </c>
      <c r="I14">
        <v>69</v>
      </c>
      <c r="J14">
        <v>100</v>
      </c>
      <c r="K14" t="s">
        <v>13</v>
      </c>
      <c r="L14">
        <f>Table2[[#This Row],[Marks]]/Table2[[#This Row],[Total_marks]]*100</f>
        <v>69</v>
      </c>
      <c r="M14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15" spans="1:13" x14ac:dyDescent="0.35">
      <c r="A15" t="s">
        <v>46</v>
      </c>
      <c r="B15" t="s">
        <v>47</v>
      </c>
      <c r="C15" t="s">
        <v>9</v>
      </c>
      <c r="D15">
        <v>21</v>
      </c>
      <c r="E15" t="s">
        <v>26</v>
      </c>
      <c r="F15" t="s">
        <v>11</v>
      </c>
      <c r="G15" t="s">
        <v>17</v>
      </c>
      <c r="H15">
        <v>62</v>
      </c>
      <c r="I15">
        <v>45</v>
      </c>
      <c r="J15">
        <v>100</v>
      </c>
      <c r="K15" t="s">
        <v>28</v>
      </c>
      <c r="L15">
        <f>Table2[[#This Row],[Marks]]/Table2[[#This Row],[Total_marks]]*100</f>
        <v>45</v>
      </c>
      <c r="M15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16" spans="1:13" x14ac:dyDescent="0.35">
      <c r="A16" t="s">
        <v>48</v>
      </c>
      <c r="B16" t="s">
        <v>49</v>
      </c>
      <c r="C16" t="s">
        <v>2</v>
      </c>
      <c r="D16">
        <v>20</v>
      </c>
      <c r="E16" t="s">
        <v>3</v>
      </c>
      <c r="F16" t="s">
        <v>16</v>
      </c>
      <c r="G16" t="s">
        <v>12</v>
      </c>
      <c r="H16">
        <v>87</v>
      </c>
      <c r="I16">
        <v>80</v>
      </c>
      <c r="J16">
        <v>100</v>
      </c>
      <c r="K16" t="s">
        <v>6</v>
      </c>
      <c r="L16">
        <f>Table2[[#This Row],[Marks]]/Table2[[#This Row],[Total_marks]]*100</f>
        <v>80</v>
      </c>
      <c r="M16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17" spans="1:13" x14ac:dyDescent="0.35">
      <c r="A17" t="s">
        <v>50</v>
      </c>
      <c r="B17" t="s">
        <v>51</v>
      </c>
      <c r="C17" t="s">
        <v>9</v>
      </c>
      <c r="D17">
        <v>22</v>
      </c>
      <c r="E17" t="s">
        <v>10</v>
      </c>
      <c r="F17" t="s">
        <v>22</v>
      </c>
      <c r="G17" t="s">
        <v>23</v>
      </c>
      <c r="H17">
        <v>93</v>
      </c>
      <c r="I17">
        <v>90</v>
      </c>
      <c r="J17">
        <v>100</v>
      </c>
      <c r="K17" t="s">
        <v>6</v>
      </c>
      <c r="L17">
        <f>Table2[[#This Row],[Marks]]/Table2[[#This Row],[Total_marks]]*100</f>
        <v>90</v>
      </c>
      <c r="M17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18" spans="1:13" x14ac:dyDescent="0.35">
      <c r="A18" t="s">
        <v>52</v>
      </c>
      <c r="B18" t="s">
        <v>53</v>
      </c>
      <c r="C18" t="s">
        <v>2</v>
      </c>
      <c r="D18">
        <v>21</v>
      </c>
      <c r="E18" t="s">
        <v>21</v>
      </c>
      <c r="F18" t="s">
        <v>4</v>
      </c>
      <c r="G18" t="s">
        <v>27</v>
      </c>
      <c r="H18">
        <v>71</v>
      </c>
      <c r="I18">
        <v>57</v>
      </c>
      <c r="J18">
        <v>100</v>
      </c>
      <c r="K18" t="s">
        <v>18</v>
      </c>
      <c r="L18">
        <f>Table2[[#This Row],[Marks]]/Table2[[#This Row],[Total_marks]]*100</f>
        <v>56.999999999999993</v>
      </c>
      <c r="M18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19" spans="1:13" x14ac:dyDescent="0.35">
      <c r="A19" t="s">
        <v>54</v>
      </c>
      <c r="B19" t="s">
        <v>55</v>
      </c>
      <c r="C19" t="s">
        <v>9</v>
      </c>
      <c r="D19">
        <v>20</v>
      </c>
      <c r="E19" t="s">
        <v>3</v>
      </c>
      <c r="F19" t="s">
        <v>11</v>
      </c>
      <c r="G19" t="s">
        <v>31</v>
      </c>
      <c r="H19">
        <v>96</v>
      </c>
      <c r="I19">
        <v>94</v>
      </c>
      <c r="J19">
        <v>100</v>
      </c>
      <c r="K19" t="s">
        <v>6</v>
      </c>
      <c r="L19">
        <f>Table2[[#This Row],[Marks]]/Table2[[#This Row],[Total_marks]]*100</f>
        <v>94</v>
      </c>
      <c r="M19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20" spans="1:13" x14ac:dyDescent="0.35">
      <c r="A20" t="s">
        <v>56</v>
      </c>
      <c r="B20" t="s">
        <v>57</v>
      </c>
      <c r="C20" t="s">
        <v>2</v>
      </c>
      <c r="D20">
        <v>22</v>
      </c>
      <c r="E20" t="s">
        <v>26</v>
      </c>
      <c r="F20" t="s">
        <v>22</v>
      </c>
      <c r="G20" t="s">
        <v>5</v>
      </c>
      <c r="H20">
        <v>69</v>
      </c>
      <c r="I20">
        <v>51</v>
      </c>
      <c r="J20">
        <v>100</v>
      </c>
      <c r="K20" t="s">
        <v>18</v>
      </c>
      <c r="L20">
        <f>Table2[[#This Row],[Marks]]/Table2[[#This Row],[Total_marks]]*100</f>
        <v>51</v>
      </c>
      <c r="M20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21" spans="1:13" x14ac:dyDescent="0.35">
      <c r="A21" t="s">
        <v>58</v>
      </c>
      <c r="B21" t="s">
        <v>59</v>
      </c>
      <c r="C21" t="s">
        <v>9</v>
      </c>
      <c r="D21">
        <v>21</v>
      </c>
      <c r="E21" t="s">
        <v>10</v>
      </c>
      <c r="F21" t="s">
        <v>16</v>
      </c>
      <c r="G21" t="s">
        <v>17</v>
      </c>
      <c r="H21">
        <v>84</v>
      </c>
      <c r="I21">
        <v>76</v>
      </c>
      <c r="J21">
        <v>100</v>
      </c>
      <c r="K21" t="s">
        <v>13</v>
      </c>
      <c r="L21">
        <f>Table2[[#This Row],[Marks]]/Table2[[#This Row],[Total_marks]]*100</f>
        <v>76</v>
      </c>
      <c r="M21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22" spans="1:13" x14ac:dyDescent="0.35">
      <c r="A22" t="s">
        <v>60</v>
      </c>
      <c r="B22" t="s">
        <v>61</v>
      </c>
      <c r="C22" t="s">
        <v>2</v>
      </c>
      <c r="D22">
        <v>20</v>
      </c>
      <c r="E22" t="s">
        <v>3</v>
      </c>
      <c r="F22" t="s">
        <v>4</v>
      </c>
      <c r="G22" t="s">
        <v>23</v>
      </c>
      <c r="H22">
        <v>78</v>
      </c>
      <c r="I22">
        <v>67</v>
      </c>
      <c r="J22">
        <v>100</v>
      </c>
      <c r="K22" t="s">
        <v>13</v>
      </c>
      <c r="L22">
        <f>Table2[[#This Row],[Marks]]/Table2[[#This Row],[Total_marks]]*100</f>
        <v>67</v>
      </c>
      <c r="M22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23" spans="1:13" x14ac:dyDescent="0.35">
      <c r="A23" t="s">
        <v>62</v>
      </c>
      <c r="B23" t="s">
        <v>63</v>
      </c>
      <c r="C23" t="s">
        <v>9</v>
      </c>
      <c r="D23">
        <v>22</v>
      </c>
      <c r="E23" t="s">
        <v>21</v>
      </c>
      <c r="F23" t="s">
        <v>11</v>
      </c>
      <c r="G23" t="s">
        <v>12</v>
      </c>
      <c r="H23">
        <v>90</v>
      </c>
      <c r="I23">
        <v>83</v>
      </c>
      <c r="J23">
        <v>100</v>
      </c>
      <c r="K23" t="s">
        <v>6</v>
      </c>
      <c r="L23">
        <f>Table2[[#This Row],[Marks]]/Table2[[#This Row],[Total_marks]]*100</f>
        <v>83</v>
      </c>
      <c r="M23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24" spans="1:13" x14ac:dyDescent="0.35">
      <c r="A24" t="s">
        <v>64</v>
      </c>
      <c r="B24" t="s">
        <v>65</v>
      </c>
      <c r="C24" t="s">
        <v>2</v>
      </c>
      <c r="D24">
        <v>21</v>
      </c>
      <c r="E24" t="s">
        <v>26</v>
      </c>
      <c r="F24" t="s">
        <v>16</v>
      </c>
      <c r="G24" t="s">
        <v>27</v>
      </c>
      <c r="H24">
        <v>73</v>
      </c>
      <c r="I24">
        <v>61</v>
      </c>
      <c r="J24">
        <v>100</v>
      </c>
      <c r="K24" t="s">
        <v>13</v>
      </c>
      <c r="L24">
        <f>Table2[[#This Row],[Marks]]/Table2[[#This Row],[Total_marks]]*100</f>
        <v>61</v>
      </c>
      <c r="M24" t="str">
        <f>IF(AND(Table2[[#This Row],[Marks]]&lt;60,Table2[[#This Row],[Attendance_percent]]&lt;75),"High  risk",IF(OR(Table2[[#This Row],[Marks]]&lt;60,Table2[[#This Row],[Attendance_percent]]&lt;75),"Medium Risk","Low Risk"))</f>
        <v>Medium Risk</v>
      </c>
    </row>
    <row r="25" spans="1:13" x14ac:dyDescent="0.35">
      <c r="A25" t="s">
        <v>66</v>
      </c>
      <c r="B25" t="s">
        <v>67</v>
      </c>
      <c r="C25" t="s">
        <v>9</v>
      </c>
      <c r="D25">
        <v>20</v>
      </c>
      <c r="E25" t="s">
        <v>3</v>
      </c>
      <c r="F25" t="s">
        <v>22</v>
      </c>
      <c r="G25" t="s">
        <v>31</v>
      </c>
      <c r="H25">
        <v>97</v>
      </c>
      <c r="I25">
        <v>92</v>
      </c>
      <c r="J25">
        <v>100</v>
      </c>
      <c r="K25" t="s">
        <v>6</v>
      </c>
      <c r="L25">
        <f>Table2[[#This Row],[Marks]]/Table2[[#This Row],[Total_marks]]*100</f>
        <v>92</v>
      </c>
      <c r="M25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26" spans="1:13" x14ac:dyDescent="0.35">
      <c r="A26" t="s">
        <v>68</v>
      </c>
      <c r="B26" t="s">
        <v>69</v>
      </c>
      <c r="C26" t="s">
        <v>2</v>
      </c>
      <c r="D26">
        <v>22</v>
      </c>
      <c r="E26" t="s">
        <v>10</v>
      </c>
      <c r="F26" t="s">
        <v>11</v>
      </c>
      <c r="G26" t="s">
        <v>5</v>
      </c>
      <c r="H26">
        <v>66</v>
      </c>
      <c r="I26">
        <v>49</v>
      </c>
      <c r="J26">
        <v>100</v>
      </c>
      <c r="K26" t="s">
        <v>28</v>
      </c>
      <c r="L26">
        <f>Table2[[#This Row],[Marks]]/Table2[[#This Row],[Total_marks]]*100</f>
        <v>49</v>
      </c>
      <c r="M26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27" spans="1:13" x14ac:dyDescent="0.35">
      <c r="A27" t="s">
        <v>70</v>
      </c>
      <c r="B27" t="s">
        <v>71</v>
      </c>
      <c r="C27" t="s">
        <v>9</v>
      </c>
      <c r="D27">
        <v>21</v>
      </c>
      <c r="E27" t="s">
        <v>21</v>
      </c>
      <c r="F27" t="s">
        <v>4</v>
      </c>
      <c r="G27" t="s">
        <v>17</v>
      </c>
      <c r="H27">
        <v>86</v>
      </c>
      <c r="I27">
        <v>79</v>
      </c>
      <c r="J27">
        <v>100</v>
      </c>
      <c r="K27" t="s">
        <v>13</v>
      </c>
      <c r="L27">
        <f>Table2[[#This Row],[Marks]]/Table2[[#This Row],[Total_marks]]*100</f>
        <v>79</v>
      </c>
      <c r="M27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28" spans="1:13" x14ac:dyDescent="0.35">
      <c r="A28" t="s">
        <v>72</v>
      </c>
      <c r="B28" t="s">
        <v>73</v>
      </c>
      <c r="C28" t="s">
        <v>2</v>
      </c>
      <c r="D28">
        <v>20</v>
      </c>
      <c r="E28" t="s">
        <v>3</v>
      </c>
      <c r="F28" t="s">
        <v>16</v>
      </c>
      <c r="G28" t="s">
        <v>12</v>
      </c>
      <c r="H28">
        <v>75</v>
      </c>
      <c r="I28">
        <v>58</v>
      </c>
      <c r="J28">
        <v>100</v>
      </c>
      <c r="K28" t="s">
        <v>18</v>
      </c>
      <c r="L28">
        <f>Table2[[#This Row],[Marks]]/Table2[[#This Row],[Total_marks]]*100</f>
        <v>57.999999999999993</v>
      </c>
      <c r="M28" t="str">
        <f>IF(AND(Table2[[#This Row],[Marks]]&lt;60,Table2[[#This Row],[Attendance_percent]]&lt;75),"High  risk",IF(OR(Table2[[#This Row],[Marks]]&lt;60,Table2[[#This Row],[Attendance_percent]]&lt;75),"Medium Risk","Low Risk"))</f>
        <v>Medium Risk</v>
      </c>
    </row>
    <row r="29" spans="1:13" x14ac:dyDescent="0.35">
      <c r="A29" t="s">
        <v>74</v>
      </c>
      <c r="B29" t="s">
        <v>75</v>
      </c>
      <c r="C29" t="s">
        <v>9</v>
      </c>
      <c r="D29">
        <v>22</v>
      </c>
      <c r="E29" t="s">
        <v>26</v>
      </c>
      <c r="F29" t="s">
        <v>22</v>
      </c>
      <c r="G29" t="s">
        <v>23</v>
      </c>
      <c r="H29">
        <v>92</v>
      </c>
      <c r="I29">
        <v>87</v>
      </c>
      <c r="J29">
        <v>100</v>
      </c>
      <c r="K29" t="s">
        <v>6</v>
      </c>
      <c r="L29">
        <f>Table2[[#This Row],[Marks]]/Table2[[#This Row],[Total_marks]]*100</f>
        <v>87</v>
      </c>
      <c r="M29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30" spans="1:13" x14ac:dyDescent="0.35">
      <c r="A30" t="s">
        <v>76</v>
      </c>
      <c r="B30" t="s">
        <v>77</v>
      </c>
      <c r="C30" t="s">
        <v>2</v>
      </c>
      <c r="D30">
        <v>21</v>
      </c>
      <c r="E30" t="s">
        <v>10</v>
      </c>
      <c r="F30" t="s">
        <v>4</v>
      </c>
      <c r="G30" t="s">
        <v>27</v>
      </c>
      <c r="H30">
        <v>80</v>
      </c>
      <c r="I30">
        <v>72</v>
      </c>
      <c r="J30">
        <v>100</v>
      </c>
      <c r="K30" t="s">
        <v>13</v>
      </c>
      <c r="L30">
        <f>Table2[[#This Row],[Marks]]/Table2[[#This Row],[Total_marks]]*100</f>
        <v>72</v>
      </c>
      <c r="M30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31" spans="1:13" x14ac:dyDescent="0.35">
      <c r="A31" t="s">
        <v>78</v>
      </c>
      <c r="B31" t="s">
        <v>79</v>
      </c>
      <c r="C31" t="s">
        <v>9</v>
      </c>
      <c r="D31">
        <v>20</v>
      </c>
      <c r="E31" t="s">
        <v>3</v>
      </c>
      <c r="F31" t="s">
        <v>11</v>
      </c>
      <c r="G31" t="s">
        <v>31</v>
      </c>
      <c r="H31">
        <v>98</v>
      </c>
      <c r="I31">
        <v>96</v>
      </c>
      <c r="J31">
        <v>100</v>
      </c>
      <c r="K31" t="s">
        <v>6</v>
      </c>
      <c r="L31">
        <f>Table2[[#This Row],[Marks]]/Table2[[#This Row],[Total_marks]]*100</f>
        <v>96</v>
      </c>
      <c r="M31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32" spans="1:13" x14ac:dyDescent="0.35">
      <c r="A32" t="s">
        <v>80</v>
      </c>
      <c r="B32" t="s">
        <v>81</v>
      </c>
      <c r="C32" t="s">
        <v>2</v>
      </c>
      <c r="D32">
        <v>22</v>
      </c>
      <c r="E32" t="s">
        <v>21</v>
      </c>
      <c r="F32" t="s">
        <v>16</v>
      </c>
      <c r="G32" t="s">
        <v>5</v>
      </c>
      <c r="H32">
        <v>70</v>
      </c>
      <c r="I32">
        <v>54</v>
      </c>
      <c r="J32">
        <v>100</v>
      </c>
      <c r="K32" t="s">
        <v>18</v>
      </c>
      <c r="L32">
        <f>Table2[[#This Row],[Marks]]/Table2[[#This Row],[Total_marks]]*100</f>
        <v>54</v>
      </c>
      <c r="M32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33" spans="1:13" x14ac:dyDescent="0.35">
      <c r="A33" t="s">
        <v>82</v>
      </c>
      <c r="B33" t="s">
        <v>83</v>
      </c>
      <c r="C33" t="s">
        <v>9</v>
      </c>
      <c r="D33">
        <v>21</v>
      </c>
      <c r="E33" t="s">
        <v>26</v>
      </c>
      <c r="F33" t="s">
        <v>11</v>
      </c>
      <c r="G33" t="s">
        <v>12</v>
      </c>
      <c r="H33">
        <v>85</v>
      </c>
      <c r="I33">
        <v>77</v>
      </c>
      <c r="J33">
        <v>100</v>
      </c>
      <c r="K33" t="s">
        <v>13</v>
      </c>
      <c r="L33">
        <f>Table2[[#This Row],[Marks]]/Table2[[#This Row],[Total_marks]]*100</f>
        <v>77</v>
      </c>
      <c r="M33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34" spans="1:13" x14ac:dyDescent="0.35">
      <c r="A34" t="s">
        <v>84</v>
      </c>
      <c r="B34" t="s">
        <v>85</v>
      </c>
      <c r="C34" t="s">
        <v>2</v>
      </c>
      <c r="D34">
        <v>20</v>
      </c>
      <c r="E34" t="s">
        <v>3</v>
      </c>
      <c r="F34" t="s">
        <v>22</v>
      </c>
      <c r="G34" t="s">
        <v>17</v>
      </c>
      <c r="H34">
        <v>82</v>
      </c>
      <c r="I34">
        <v>75</v>
      </c>
      <c r="J34">
        <v>100</v>
      </c>
      <c r="K34" t="s">
        <v>13</v>
      </c>
      <c r="L34">
        <f>Table2[[#This Row],[Marks]]/Table2[[#This Row],[Total_marks]]*100</f>
        <v>75</v>
      </c>
      <c r="M34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35" spans="1:13" x14ac:dyDescent="0.35">
      <c r="A35" t="s">
        <v>86</v>
      </c>
      <c r="B35" t="s">
        <v>87</v>
      </c>
      <c r="C35" t="s">
        <v>9</v>
      </c>
      <c r="D35">
        <v>22</v>
      </c>
      <c r="E35" t="s">
        <v>10</v>
      </c>
      <c r="F35" t="s">
        <v>4</v>
      </c>
      <c r="G35" t="s">
        <v>23</v>
      </c>
      <c r="H35">
        <v>94</v>
      </c>
      <c r="I35">
        <v>89</v>
      </c>
      <c r="J35">
        <v>100</v>
      </c>
      <c r="K35" t="s">
        <v>6</v>
      </c>
      <c r="L35">
        <f>Table2[[#This Row],[Marks]]/Table2[[#This Row],[Total_marks]]*100</f>
        <v>89</v>
      </c>
      <c r="M35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36" spans="1:13" x14ac:dyDescent="0.35">
      <c r="A36" t="s">
        <v>88</v>
      </c>
      <c r="B36" t="s">
        <v>89</v>
      </c>
      <c r="C36" t="s">
        <v>2</v>
      </c>
      <c r="D36">
        <v>21</v>
      </c>
      <c r="E36" t="s">
        <v>21</v>
      </c>
      <c r="F36" t="s">
        <v>11</v>
      </c>
      <c r="G36" t="s">
        <v>27</v>
      </c>
      <c r="H36">
        <v>67</v>
      </c>
      <c r="I36">
        <v>46</v>
      </c>
      <c r="J36">
        <v>100</v>
      </c>
      <c r="K36" t="s">
        <v>28</v>
      </c>
      <c r="L36">
        <f>Table2[[#This Row],[Marks]]/Table2[[#This Row],[Total_marks]]*100</f>
        <v>46</v>
      </c>
      <c r="M36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37" spans="1:13" x14ac:dyDescent="0.35">
      <c r="A37" t="s">
        <v>90</v>
      </c>
      <c r="B37" t="s">
        <v>91</v>
      </c>
      <c r="C37" t="s">
        <v>9</v>
      </c>
      <c r="D37">
        <v>20</v>
      </c>
      <c r="E37" t="s">
        <v>3</v>
      </c>
      <c r="F37" t="s">
        <v>16</v>
      </c>
      <c r="G37" t="s">
        <v>31</v>
      </c>
      <c r="H37">
        <v>88</v>
      </c>
      <c r="I37">
        <v>81</v>
      </c>
      <c r="J37">
        <v>100</v>
      </c>
      <c r="K37" t="s">
        <v>6</v>
      </c>
      <c r="L37">
        <f>Table2[[#This Row],[Marks]]/Table2[[#This Row],[Total_marks]]*100</f>
        <v>81</v>
      </c>
      <c r="M37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38" spans="1:13" x14ac:dyDescent="0.35">
      <c r="A38" t="s">
        <v>92</v>
      </c>
      <c r="B38" t="s">
        <v>93</v>
      </c>
      <c r="C38" t="s">
        <v>2</v>
      </c>
      <c r="D38">
        <v>22</v>
      </c>
      <c r="E38" t="s">
        <v>26</v>
      </c>
      <c r="F38" t="s">
        <v>22</v>
      </c>
      <c r="G38" t="s">
        <v>5</v>
      </c>
      <c r="H38">
        <v>77</v>
      </c>
      <c r="I38">
        <v>63</v>
      </c>
      <c r="J38">
        <v>100</v>
      </c>
      <c r="K38" t="s">
        <v>13</v>
      </c>
      <c r="L38">
        <f>Table2[[#This Row],[Marks]]/Table2[[#This Row],[Total_marks]]*100</f>
        <v>63</v>
      </c>
      <c r="M38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39" spans="1:13" x14ac:dyDescent="0.35">
      <c r="A39" t="s">
        <v>94</v>
      </c>
      <c r="B39" t="s">
        <v>95</v>
      </c>
      <c r="C39" t="s">
        <v>9</v>
      </c>
      <c r="D39">
        <v>21</v>
      </c>
      <c r="E39" t="s">
        <v>10</v>
      </c>
      <c r="F39" t="s">
        <v>11</v>
      </c>
      <c r="G39" t="s">
        <v>17</v>
      </c>
      <c r="H39">
        <v>91</v>
      </c>
      <c r="I39">
        <v>84</v>
      </c>
      <c r="J39">
        <v>100</v>
      </c>
      <c r="K39" t="s">
        <v>6</v>
      </c>
      <c r="L39">
        <f>Table2[[#This Row],[Marks]]/Table2[[#This Row],[Total_marks]]*100</f>
        <v>84</v>
      </c>
      <c r="M39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40" spans="1:13" x14ac:dyDescent="0.35">
      <c r="A40" t="s">
        <v>96</v>
      </c>
      <c r="B40" t="s">
        <v>97</v>
      </c>
      <c r="C40" t="s">
        <v>2</v>
      </c>
      <c r="D40">
        <v>20</v>
      </c>
      <c r="E40" t="s">
        <v>3</v>
      </c>
      <c r="F40" t="s">
        <v>4</v>
      </c>
      <c r="G40" t="s">
        <v>12</v>
      </c>
      <c r="H40">
        <v>64</v>
      </c>
      <c r="I40">
        <v>43</v>
      </c>
      <c r="J40">
        <v>100</v>
      </c>
      <c r="K40" t="s">
        <v>28</v>
      </c>
      <c r="L40">
        <f>Table2[[#This Row],[Marks]]/Table2[[#This Row],[Total_marks]]*100</f>
        <v>43</v>
      </c>
      <c r="M40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41" spans="1:13" x14ac:dyDescent="0.35">
      <c r="A41" t="s">
        <v>98</v>
      </c>
      <c r="B41" t="s">
        <v>99</v>
      </c>
      <c r="C41" t="s">
        <v>9</v>
      </c>
      <c r="D41">
        <v>22</v>
      </c>
      <c r="E41" t="s">
        <v>21</v>
      </c>
      <c r="F41" t="s">
        <v>16</v>
      </c>
      <c r="G41" t="s">
        <v>23</v>
      </c>
      <c r="H41">
        <v>89</v>
      </c>
      <c r="I41">
        <v>78</v>
      </c>
      <c r="J41">
        <v>100</v>
      </c>
      <c r="K41" t="s">
        <v>13</v>
      </c>
      <c r="L41">
        <f>Table2[[#This Row],[Marks]]/Table2[[#This Row],[Total_marks]]*100</f>
        <v>78</v>
      </c>
      <c r="M41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42" spans="1:13" x14ac:dyDescent="0.35">
      <c r="A42" t="s">
        <v>100</v>
      </c>
      <c r="B42" t="s">
        <v>101</v>
      </c>
      <c r="C42" t="s">
        <v>2</v>
      </c>
      <c r="D42">
        <v>21</v>
      </c>
      <c r="E42" t="s">
        <v>26</v>
      </c>
      <c r="F42" t="s">
        <v>11</v>
      </c>
      <c r="G42" t="s">
        <v>27</v>
      </c>
      <c r="H42">
        <v>72</v>
      </c>
      <c r="I42">
        <v>56</v>
      </c>
      <c r="J42">
        <v>100</v>
      </c>
      <c r="K42" t="s">
        <v>18</v>
      </c>
      <c r="L42">
        <f>Table2[[#This Row],[Marks]]/Table2[[#This Row],[Total_marks]]*100</f>
        <v>56.000000000000007</v>
      </c>
      <c r="M42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43" spans="1:13" x14ac:dyDescent="0.35">
      <c r="A43" t="s">
        <v>102</v>
      </c>
      <c r="B43" t="s">
        <v>103</v>
      </c>
      <c r="C43" t="s">
        <v>9</v>
      </c>
      <c r="D43">
        <v>20</v>
      </c>
      <c r="E43" t="s">
        <v>3</v>
      </c>
      <c r="F43" t="s">
        <v>22</v>
      </c>
      <c r="G43" t="s">
        <v>31</v>
      </c>
      <c r="H43">
        <v>95</v>
      </c>
      <c r="I43">
        <v>93</v>
      </c>
      <c r="J43">
        <v>100</v>
      </c>
      <c r="K43" t="s">
        <v>6</v>
      </c>
      <c r="L43">
        <f>Table2[[#This Row],[Marks]]/Table2[[#This Row],[Total_marks]]*100</f>
        <v>93</v>
      </c>
      <c r="M43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44" spans="1:13" x14ac:dyDescent="0.35">
      <c r="A44" t="s">
        <v>104</v>
      </c>
      <c r="B44" t="s">
        <v>105</v>
      </c>
      <c r="C44" t="s">
        <v>2</v>
      </c>
      <c r="D44">
        <v>22</v>
      </c>
      <c r="E44" t="s">
        <v>10</v>
      </c>
      <c r="F44" t="s">
        <v>4</v>
      </c>
      <c r="G44" t="s">
        <v>5</v>
      </c>
      <c r="H44">
        <v>83</v>
      </c>
      <c r="I44">
        <v>74</v>
      </c>
      <c r="J44">
        <v>100</v>
      </c>
      <c r="K44" t="s">
        <v>13</v>
      </c>
      <c r="L44">
        <f>Table2[[#This Row],[Marks]]/Table2[[#This Row],[Total_marks]]*100</f>
        <v>74</v>
      </c>
      <c r="M44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45" spans="1:13" x14ac:dyDescent="0.35">
      <c r="A45" t="s">
        <v>106</v>
      </c>
      <c r="B45" t="s">
        <v>107</v>
      </c>
      <c r="C45" t="s">
        <v>9</v>
      </c>
      <c r="D45">
        <v>21</v>
      </c>
      <c r="E45" t="s">
        <v>21</v>
      </c>
      <c r="F45" t="s">
        <v>11</v>
      </c>
      <c r="G45" t="s">
        <v>12</v>
      </c>
      <c r="H45">
        <v>87</v>
      </c>
      <c r="I45">
        <v>80</v>
      </c>
      <c r="J45">
        <v>100</v>
      </c>
      <c r="K45" t="s">
        <v>6</v>
      </c>
      <c r="L45">
        <f>Table2[[#This Row],[Marks]]/Table2[[#This Row],[Total_marks]]*100</f>
        <v>80</v>
      </c>
      <c r="M45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46" spans="1:13" x14ac:dyDescent="0.35">
      <c r="A46" t="s">
        <v>108</v>
      </c>
      <c r="B46" t="s">
        <v>109</v>
      </c>
      <c r="C46" t="s">
        <v>2</v>
      </c>
      <c r="D46">
        <v>20</v>
      </c>
      <c r="E46" t="s">
        <v>3</v>
      </c>
      <c r="F46" t="s">
        <v>16</v>
      </c>
      <c r="G46" t="s">
        <v>17</v>
      </c>
      <c r="H46">
        <v>69</v>
      </c>
      <c r="I46">
        <v>50</v>
      </c>
      <c r="J46">
        <v>100</v>
      </c>
      <c r="K46" t="s">
        <v>18</v>
      </c>
      <c r="L46">
        <f>Table2[[#This Row],[Marks]]/Table2[[#This Row],[Total_marks]]*100</f>
        <v>50</v>
      </c>
      <c r="M46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47" spans="1:13" x14ac:dyDescent="0.35">
      <c r="A47" t="s">
        <v>110</v>
      </c>
      <c r="B47" t="s">
        <v>111</v>
      </c>
      <c r="C47" t="s">
        <v>9</v>
      </c>
      <c r="D47">
        <v>22</v>
      </c>
      <c r="E47" t="s">
        <v>26</v>
      </c>
      <c r="F47" t="s">
        <v>22</v>
      </c>
      <c r="G47" t="s">
        <v>23</v>
      </c>
      <c r="H47">
        <v>93</v>
      </c>
      <c r="I47">
        <v>86</v>
      </c>
      <c r="J47">
        <v>100</v>
      </c>
      <c r="K47" t="s">
        <v>6</v>
      </c>
      <c r="L47">
        <f>Table2[[#This Row],[Marks]]/Table2[[#This Row],[Total_marks]]*100</f>
        <v>86</v>
      </c>
      <c r="M47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48" spans="1:13" x14ac:dyDescent="0.35">
      <c r="A48" t="s">
        <v>112</v>
      </c>
      <c r="B48" t="s">
        <v>113</v>
      </c>
      <c r="C48" t="s">
        <v>2</v>
      </c>
      <c r="D48">
        <v>21</v>
      </c>
      <c r="E48" t="s">
        <v>10</v>
      </c>
      <c r="F48" t="s">
        <v>11</v>
      </c>
      <c r="G48" t="s">
        <v>27</v>
      </c>
      <c r="H48">
        <v>76</v>
      </c>
      <c r="I48">
        <v>65</v>
      </c>
      <c r="J48">
        <v>100</v>
      </c>
      <c r="K48" t="s">
        <v>13</v>
      </c>
      <c r="L48">
        <f>Table2[[#This Row],[Marks]]/Table2[[#This Row],[Total_marks]]*100</f>
        <v>65</v>
      </c>
      <c r="M48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49" spans="1:13" x14ac:dyDescent="0.35">
      <c r="A49" t="s">
        <v>114</v>
      </c>
      <c r="B49" t="s">
        <v>115</v>
      </c>
      <c r="C49" t="s">
        <v>9</v>
      </c>
      <c r="D49">
        <v>20</v>
      </c>
      <c r="E49" t="s">
        <v>3</v>
      </c>
      <c r="F49" t="s">
        <v>4</v>
      </c>
      <c r="G49" t="s">
        <v>31</v>
      </c>
      <c r="H49">
        <v>99</v>
      </c>
      <c r="I49">
        <v>97</v>
      </c>
      <c r="J49">
        <v>100</v>
      </c>
      <c r="K49" t="s">
        <v>6</v>
      </c>
      <c r="L49">
        <f>Table2[[#This Row],[Marks]]/Table2[[#This Row],[Total_marks]]*100</f>
        <v>97</v>
      </c>
      <c r="M49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  <row r="50" spans="1:13" x14ac:dyDescent="0.35">
      <c r="A50" t="s">
        <v>116</v>
      </c>
      <c r="B50" t="s">
        <v>117</v>
      </c>
      <c r="C50" t="s">
        <v>2</v>
      </c>
      <c r="D50">
        <v>22</v>
      </c>
      <c r="E50" t="s">
        <v>21</v>
      </c>
      <c r="F50" t="s">
        <v>16</v>
      </c>
      <c r="G50" t="s">
        <v>5</v>
      </c>
      <c r="H50">
        <v>61</v>
      </c>
      <c r="I50">
        <v>44</v>
      </c>
      <c r="J50">
        <v>100</v>
      </c>
      <c r="K50" t="s">
        <v>28</v>
      </c>
      <c r="L50">
        <f>Table2[[#This Row],[Marks]]/Table2[[#This Row],[Total_marks]]*100</f>
        <v>44</v>
      </c>
      <c r="M50" t="str">
        <f>IF(AND(Table2[[#This Row],[Marks]]&lt;60,Table2[[#This Row],[Attendance_percent]]&lt;75),"High  risk",IF(OR(Table2[[#This Row],[Marks]]&lt;60,Table2[[#This Row],[Attendance_percent]]&lt;75),"Medium Risk","Low Risk"))</f>
        <v>High  risk</v>
      </c>
    </row>
    <row r="51" spans="1:13" x14ac:dyDescent="0.35">
      <c r="A51" t="s">
        <v>118</v>
      </c>
      <c r="B51" t="s">
        <v>119</v>
      </c>
      <c r="C51" t="s">
        <v>9</v>
      </c>
      <c r="D51">
        <v>21</v>
      </c>
      <c r="E51" t="s">
        <v>26</v>
      </c>
      <c r="F51" t="s">
        <v>11</v>
      </c>
      <c r="G51" t="s">
        <v>17</v>
      </c>
      <c r="H51">
        <v>90</v>
      </c>
      <c r="I51">
        <v>82</v>
      </c>
      <c r="J51">
        <v>100</v>
      </c>
      <c r="K51" t="s">
        <v>6</v>
      </c>
      <c r="L51">
        <f>Table2[[#This Row],[Marks]]/Table2[[#This Row],[Total_marks]]*100</f>
        <v>82</v>
      </c>
      <c r="M51" t="str">
        <f>IF(AND(Table2[[#This Row],[Marks]]&lt;60,Table2[[#This Row],[Attendance_percent]]&lt;75),"High  risk",IF(OR(Table2[[#This Row],[Marks]]&lt;60,Table2[[#This Row],[Attendance_percent]]&lt;75),"Medium Risk","Low Risk"))</f>
        <v>Low Risk</v>
      </c>
    </row>
  </sheetData>
  <phoneticPr fontId="1" type="noConversion"/>
  <conditionalFormatting sqref="I1:I1048576">
    <cfRule type="cellIs" dxfId="0" priority="1" operator="greaterThan">
      <formula>90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CA99-092E-4384-A2D6-67151B4D00D4}">
  <dimension ref="A3:B6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18.1796875" bestFit="1" customWidth="1"/>
  </cols>
  <sheetData>
    <row r="3" spans="1:2" x14ac:dyDescent="0.35">
      <c r="A3" s="1" t="s">
        <v>141</v>
      </c>
      <c r="B3" t="s">
        <v>149</v>
      </c>
    </row>
    <row r="4" spans="1:2" x14ac:dyDescent="0.35">
      <c r="A4" s="2" t="s">
        <v>131</v>
      </c>
      <c r="B4">
        <v>22</v>
      </c>
    </row>
    <row r="5" spans="1:2" x14ac:dyDescent="0.35">
      <c r="A5" s="2" t="s">
        <v>132</v>
      </c>
      <c r="B5">
        <v>28</v>
      </c>
    </row>
    <row r="6" spans="1:2" x14ac:dyDescent="0.35">
      <c r="A6" s="2" t="s">
        <v>142</v>
      </c>
      <c r="B6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6825-00BA-4F93-AFAA-99CE7E8AF32F}">
  <dimension ref="A3:B8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18.7265625" bestFit="1" customWidth="1"/>
  </cols>
  <sheetData>
    <row r="3" spans="1:2" x14ac:dyDescent="0.35">
      <c r="A3" s="1" t="s">
        <v>141</v>
      </c>
      <c r="B3" t="s">
        <v>150</v>
      </c>
    </row>
    <row r="4" spans="1:2" x14ac:dyDescent="0.35">
      <c r="A4" s="2" t="s">
        <v>3</v>
      </c>
      <c r="B4">
        <v>80000</v>
      </c>
    </row>
    <row r="5" spans="1:2" x14ac:dyDescent="0.35">
      <c r="A5" s="2" t="s">
        <v>10</v>
      </c>
      <c r="B5">
        <v>55000</v>
      </c>
    </row>
    <row r="6" spans="1:2" x14ac:dyDescent="0.35">
      <c r="A6" s="2" t="s">
        <v>21</v>
      </c>
      <c r="B6">
        <v>100000</v>
      </c>
    </row>
    <row r="7" spans="1:2" x14ac:dyDescent="0.35">
      <c r="A7" s="2" t="s">
        <v>26</v>
      </c>
      <c r="B7">
        <v>85000</v>
      </c>
    </row>
    <row r="8" spans="1:2" x14ac:dyDescent="0.35">
      <c r="A8" s="2" t="s">
        <v>142</v>
      </c>
      <c r="B8">
        <v>320000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8143B-1C00-4113-B494-48B19DD671E6}">
  <dimension ref="A1:H51"/>
  <sheetViews>
    <sheetView topLeftCell="A43" workbookViewId="0">
      <selection activeCell="F13" sqref="F13"/>
    </sheetView>
  </sheetViews>
  <sheetFormatPr defaultRowHeight="14.5" x14ac:dyDescent="0.35"/>
  <cols>
    <col min="1" max="1" width="8.54296875" customWidth="1"/>
    <col min="2" max="2" width="12.26953125" customWidth="1"/>
    <col min="3" max="3" width="11.54296875" customWidth="1"/>
    <col min="4" max="4" width="11.1796875" customWidth="1"/>
    <col min="5" max="5" width="14.26953125" customWidth="1"/>
    <col min="6" max="6" width="16.453125" customWidth="1"/>
  </cols>
  <sheetData>
    <row r="1" spans="1:8" x14ac:dyDescent="0.35">
      <c r="A1" t="s">
        <v>133</v>
      </c>
      <c r="B1" t="s">
        <v>134</v>
      </c>
      <c r="C1" t="s">
        <v>135</v>
      </c>
      <c r="D1" t="s">
        <v>138</v>
      </c>
      <c r="E1" t="s">
        <v>137</v>
      </c>
      <c r="F1" t="s">
        <v>136</v>
      </c>
    </row>
    <row r="2" spans="1:8" x14ac:dyDescent="0.35">
      <c r="A2">
        <v>101</v>
      </c>
      <c r="B2" t="s">
        <v>0</v>
      </c>
      <c r="C2">
        <v>50000</v>
      </c>
      <c r="D2">
        <v>50000</v>
      </c>
      <c r="E2">
        <v>0</v>
      </c>
      <c r="F2" t="s">
        <v>131</v>
      </c>
      <c r="H2">
        <f>SUM(Table1[Total_fees])</f>
        <v>2500000</v>
      </c>
    </row>
    <row r="3" spans="1:8" x14ac:dyDescent="0.35">
      <c r="A3">
        <v>102</v>
      </c>
      <c r="B3" t="s">
        <v>7</v>
      </c>
      <c r="C3">
        <v>50000</v>
      </c>
      <c r="D3">
        <v>40000</v>
      </c>
      <c r="E3">
        <v>10000</v>
      </c>
      <c r="F3" t="s">
        <v>132</v>
      </c>
      <c r="H3">
        <f>SUM(Table1[Pending_Fees])</f>
        <v>320000</v>
      </c>
    </row>
    <row r="4" spans="1:8" x14ac:dyDescent="0.35">
      <c r="A4">
        <v>103</v>
      </c>
      <c r="B4" t="s">
        <v>14</v>
      </c>
      <c r="C4">
        <v>45000</v>
      </c>
      <c r="D4">
        <v>30000</v>
      </c>
      <c r="E4">
        <v>15000</v>
      </c>
      <c r="F4" t="s">
        <v>132</v>
      </c>
    </row>
    <row r="5" spans="1:8" x14ac:dyDescent="0.35">
      <c r="A5">
        <v>104</v>
      </c>
      <c r="B5" t="s">
        <v>19</v>
      </c>
      <c r="C5">
        <v>55000</v>
      </c>
      <c r="D5">
        <v>55000</v>
      </c>
      <c r="E5">
        <v>0</v>
      </c>
      <c r="F5" t="s">
        <v>131</v>
      </c>
    </row>
    <row r="6" spans="1:8" x14ac:dyDescent="0.35">
      <c r="A6">
        <v>105</v>
      </c>
      <c r="B6" t="s">
        <v>24</v>
      </c>
      <c r="C6">
        <v>45000</v>
      </c>
      <c r="D6">
        <v>35000</v>
      </c>
      <c r="E6">
        <v>10000</v>
      </c>
      <c r="F6" t="s">
        <v>132</v>
      </c>
    </row>
    <row r="7" spans="1:8" x14ac:dyDescent="0.35">
      <c r="A7">
        <v>106</v>
      </c>
      <c r="B7" t="s">
        <v>29</v>
      </c>
      <c r="C7">
        <v>50000</v>
      </c>
      <c r="D7">
        <v>50000</v>
      </c>
      <c r="E7">
        <v>0</v>
      </c>
      <c r="F7" t="s">
        <v>131</v>
      </c>
    </row>
    <row r="8" spans="1:8" x14ac:dyDescent="0.35">
      <c r="A8">
        <v>107</v>
      </c>
      <c r="B8" t="s">
        <v>32</v>
      </c>
      <c r="C8">
        <v>50000</v>
      </c>
      <c r="D8">
        <v>45000</v>
      </c>
      <c r="E8">
        <v>5000</v>
      </c>
      <c r="F8" t="s">
        <v>132</v>
      </c>
    </row>
    <row r="9" spans="1:8" x14ac:dyDescent="0.35">
      <c r="A9">
        <v>108</v>
      </c>
      <c r="B9" t="s">
        <v>34</v>
      </c>
      <c r="C9">
        <v>55000</v>
      </c>
      <c r="D9">
        <v>55000</v>
      </c>
      <c r="E9">
        <v>0</v>
      </c>
      <c r="F9" t="s">
        <v>131</v>
      </c>
    </row>
    <row r="10" spans="1:8" x14ac:dyDescent="0.35">
      <c r="A10">
        <v>109</v>
      </c>
      <c r="B10" t="s">
        <v>36</v>
      </c>
      <c r="C10">
        <v>50000</v>
      </c>
      <c r="D10">
        <v>40000</v>
      </c>
      <c r="E10">
        <v>10000</v>
      </c>
      <c r="F10" t="s">
        <v>132</v>
      </c>
    </row>
    <row r="11" spans="1:8" x14ac:dyDescent="0.35">
      <c r="A11">
        <v>110</v>
      </c>
      <c r="B11" t="s">
        <v>38</v>
      </c>
      <c r="C11">
        <v>45000</v>
      </c>
      <c r="D11">
        <v>30000</v>
      </c>
      <c r="E11">
        <v>15000</v>
      </c>
      <c r="F11" t="s">
        <v>132</v>
      </c>
    </row>
    <row r="12" spans="1:8" x14ac:dyDescent="0.35">
      <c r="A12">
        <v>111</v>
      </c>
      <c r="B12" t="s">
        <v>40</v>
      </c>
      <c r="C12">
        <v>50000</v>
      </c>
      <c r="D12">
        <v>50000</v>
      </c>
      <c r="E12">
        <v>0</v>
      </c>
      <c r="F12" t="s">
        <v>131</v>
      </c>
    </row>
    <row r="13" spans="1:8" x14ac:dyDescent="0.35">
      <c r="A13">
        <v>112</v>
      </c>
      <c r="B13" t="s">
        <v>42</v>
      </c>
      <c r="C13">
        <v>50000</v>
      </c>
      <c r="D13">
        <v>45000</v>
      </c>
      <c r="E13">
        <v>5000</v>
      </c>
      <c r="F13" t="s">
        <v>132</v>
      </c>
    </row>
    <row r="14" spans="1:8" x14ac:dyDescent="0.35">
      <c r="A14">
        <v>113</v>
      </c>
      <c r="B14" t="s">
        <v>44</v>
      </c>
      <c r="C14">
        <v>55000</v>
      </c>
      <c r="D14">
        <v>40000</v>
      </c>
      <c r="E14">
        <v>15000</v>
      </c>
      <c r="F14" t="s">
        <v>132</v>
      </c>
    </row>
    <row r="15" spans="1:8" x14ac:dyDescent="0.35">
      <c r="A15">
        <v>114</v>
      </c>
      <c r="B15" t="s">
        <v>46</v>
      </c>
      <c r="C15">
        <v>45000</v>
      </c>
      <c r="D15">
        <v>30000</v>
      </c>
      <c r="E15">
        <v>15000</v>
      </c>
      <c r="F15" t="s">
        <v>132</v>
      </c>
    </row>
    <row r="16" spans="1:8" x14ac:dyDescent="0.35">
      <c r="A16">
        <v>115</v>
      </c>
      <c r="B16" t="s">
        <v>48</v>
      </c>
      <c r="C16">
        <v>50000</v>
      </c>
      <c r="D16">
        <v>50000</v>
      </c>
      <c r="E16">
        <v>0</v>
      </c>
      <c r="F16" t="s">
        <v>131</v>
      </c>
    </row>
    <row r="17" spans="1:6" x14ac:dyDescent="0.35">
      <c r="A17">
        <v>116</v>
      </c>
      <c r="B17" t="s">
        <v>50</v>
      </c>
      <c r="C17">
        <v>50000</v>
      </c>
      <c r="D17">
        <v>50000</v>
      </c>
      <c r="E17">
        <v>0</v>
      </c>
      <c r="F17" t="s">
        <v>131</v>
      </c>
    </row>
    <row r="18" spans="1:6" x14ac:dyDescent="0.35">
      <c r="A18">
        <v>117</v>
      </c>
      <c r="B18" t="s">
        <v>52</v>
      </c>
      <c r="C18">
        <v>55000</v>
      </c>
      <c r="D18">
        <v>45000</v>
      </c>
      <c r="E18">
        <v>10000</v>
      </c>
      <c r="F18" t="s">
        <v>132</v>
      </c>
    </row>
    <row r="19" spans="1:6" x14ac:dyDescent="0.35">
      <c r="A19">
        <v>118</v>
      </c>
      <c r="B19" t="s">
        <v>54</v>
      </c>
      <c r="C19">
        <v>50000</v>
      </c>
      <c r="D19">
        <v>50000</v>
      </c>
      <c r="E19">
        <v>0</v>
      </c>
      <c r="F19" t="s">
        <v>131</v>
      </c>
    </row>
    <row r="20" spans="1:6" x14ac:dyDescent="0.35">
      <c r="A20">
        <v>119</v>
      </c>
      <c r="B20" t="s">
        <v>56</v>
      </c>
      <c r="C20">
        <v>45000</v>
      </c>
      <c r="D20">
        <v>35000</v>
      </c>
      <c r="E20">
        <v>10000</v>
      </c>
      <c r="F20" t="s">
        <v>132</v>
      </c>
    </row>
    <row r="21" spans="1:6" x14ac:dyDescent="0.35">
      <c r="A21">
        <v>120</v>
      </c>
      <c r="B21" t="s">
        <v>58</v>
      </c>
      <c r="C21">
        <v>50000</v>
      </c>
      <c r="D21">
        <v>50000</v>
      </c>
      <c r="E21">
        <v>0</v>
      </c>
      <c r="F21" t="s">
        <v>131</v>
      </c>
    </row>
    <row r="22" spans="1:6" x14ac:dyDescent="0.35">
      <c r="A22">
        <v>121</v>
      </c>
      <c r="B22" t="s">
        <v>60</v>
      </c>
      <c r="C22">
        <v>50000</v>
      </c>
      <c r="D22">
        <v>40000</v>
      </c>
      <c r="E22">
        <v>10000</v>
      </c>
      <c r="F22" t="s">
        <v>132</v>
      </c>
    </row>
    <row r="23" spans="1:6" x14ac:dyDescent="0.35">
      <c r="A23">
        <v>122</v>
      </c>
      <c r="B23" t="s">
        <v>62</v>
      </c>
      <c r="C23">
        <v>55000</v>
      </c>
      <c r="D23">
        <v>55000</v>
      </c>
      <c r="E23">
        <v>0</v>
      </c>
      <c r="F23" t="s">
        <v>131</v>
      </c>
    </row>
    <row r="24" spans="1:6" x14ac:dyDescent="0.35">
      <c r="A24">
        <v>123</v>
      </c>
      <c r="B24" t="s">
        <v>64</v>
      </c>
      <c r="C24">
        <v>45000</v>
      </c>
      <c r="D24">
        <v>40000</v>
      </c>
      <c r="E24">
        <v>5000</v>
      </c>
      <c r="F24" t="s">
        <v>132</v>
      </c>
    </row>
    <row r="25" spans="1:6" x14ac:dyDescent="0.35">
      <c r="A25">
        <v>124</v>
      </c>
      <c r="B25" t="s">
        <v>66</v>
      </c>
      <c r="C25">
        <v>50000</v>
      </c>
      <c r="D25">
        <v>50000</v>
      </c>
      <c r="E25">
        <v>0</v>
      </c>
      <c r="F25" t="s">
        <v>131</v>
      </c>
    </row>
    <row r="26" spans="1:6" x14ac:dyDescent="0.35">
      <c r="A26">
        <v>125</v>
      </c>
      <c r="B26" t="s">
        <v>68</v>
      </c>
      <c r="C26">
        <v>50000</v>
      </c>
      <c r="D26">
        <v>30000</v>
      </c>
      <c r="E26">
        <v>20000</v>
      </c>
      <c r="F26" t="s">
        <v>132</v>
      </c>
    </row>
    <row r="27" spans="1:6" x14ac:dyDescent="0.35">
      <c r="A27">
        <v>126</v>
      </c>
      <c r="B27" t="s">
        <v>70</v>
      </c>
      <c r="C27">
        <v>55000</v>
      </c>
      <c r="D27">
        <v>45000</v>
      </c>
      <c r="E27">
        <v>10000</v>
      </c>
      <c r="F27" t="s">
        <v>132</v>
      </c>
    </row>
    <row r="28" spans="1:6" x14ac:dyDescent="0.35">
      <c r="A28">
        <v>127</v>
      </c>
      <c r="B28" t="s">
        <v>72</v>
      </c>
      <c r="C28">
        <v>50000</v>
      </c>
      <c r="D28">
        <v>40000</v>
      </c>
      <c r="E28">
        <v>10000</v>
      </c>
      <c r="F28" t="s">
        <v>132</v>
      </c>
    </row>
    <row r="29" spans="1:6" x14ac:dyDescent="0.35">
      <c r="A29">
        <v>128</v>
      </c>
      <c r="B29" t="s">
        <v>74</v>
      </c>
      <c r="C29">
        <v>45000</v>
      </c>
      <c r="D29">
        <v>45000</v>
      </c>
      <c r="E29">
        <v>0</v>
      </c>
      <c r="F29" t="s">
        <v>131</v>
      </c>
    </row>
    <row r="30" spans="1:6" x14ac:dyDescent="0.35">
      <c r="A30">
        <v>129</v>
      </c>
      <c r="B30" t="s">
        <v>76</v>
      </c>
      <c r="C30">
        <v>50000</v>
      </c>
      <c r="D30">
        <v>50000</v>
      </c>
      <c r="E30">
        <v>0</v>
      </c>
      <c r="F30" t="s">
        <v>131</v>
      </c>
    </row>
    <row r="31" spans="1:6" x14ac:dyDescent="0.35">
      <c r="A31">
        <v>130</v>
      </c>
      <c r="B31" t="s">
        <v>78</v>
      </c>
      <c r="C31">
        <v>55000</v>
      </c>
      <c r="D31">
        <v>55000</v>
      </c>
      <c r="E31">
        <v>0</v>
      </c>
      <c r="F31" t="s">
        <v>131</v>
      </c>
    </row>
    <row r="32" spans="1:6" x14ac:dyDescent="0.35">
      <c r="A32">
        <v>131</v>
      </c>
      <c r="B32" t="s">
        <v>80</v>
      </c>
      <c r="C32">
        <v>50000</v>
      </c>
      <c r="D32">
        <v>35000</v>
      </c>
      <c r="E32">
        <v>15000</v>
      </c>
      <c r="F32" t="s">
        <v>132</v>
      </c>
    </row>
    <row r="33" spans="1:6" x14ac:dyDescent="0.35">
      <c r="A33">
        <v>132</v>
      </c>
      <c r="B33" t="s">
        <v>82</v>
      </c>
      <c r="C33">
        <v>45000</v>
      </c>
      <c r="D33">
        <v>40000</v>
      </c>
      <c r="E33">
        <v>5000</v>
      </c>
      <c r="F33" t="s">
        <v>132</v>
      </c>
    </row>
    <row r="34" spans="1:6" x14ac:dyDescent="0.35">
      <c r="A34">
        <v>133</v>
      </c>
      <c r="B34" t="s">
        <v>84</v>
      </c>
      <c r="C34">
        <v>50000</v>
      </c>
      <c r="D34">
        <v>50000</v>
      </c>
      <c r="E34">
        <v>0</v>
      </c>
      <c r="F34" t="s">
        <v>131</v>
      </c>
    </row>
    <row r="35" spans="1:6" x14ac:dyDescent="0.35">
      <c r="A35">
        <v>134</v>
      </c>
      <c r="B35" t="s">
        <v>86</v>
      </c>
      <c r="C35">
        <v>55000</v>
      </c>
      <c r="D35">
        <v>50000</v>
      </c>
      <c r="E35">
        <v>5000</v>
      </c>
      <c r="F35" t="s">
        <v>132</v>
      </c>
    </row>
    <row r="36" spans="1:6" x14ac:dyDescent="0.35">
      <c r="A36">
        <v>135</v>
      </c>
      <c r="B36" t="s">
        <v>88</v>
      </c>
      <c r="C36">
        <v>50000</v>
      </c>
      <c r="D36">
        <v>30000</v>
      </c>
      <c r="E36">
        <v>20000</v>
      </c>
      <c r="F36" t="s">
        <v>132</v>
      </c>
    </row>
    <row r="37" spans="1:6" x14ac:dyDescent="0.35">
      <c r="A37">
        <v>136</v>
      </c>
      <c r="B37" t="s">
        <v>90</v>
      </c>
      <c r="C37">
        <v>45000</v>
      </c>
      <c r="D37">
        <v>45000</v>
      </c>
      <c r="E37">
        <v>0</v>
      </c>
      <c r="F37" t="s">
        <v>131</v>
      </c>
    </row>
    <row r="38" spans="1:6" x14ac:dyDescent="0.35">
      <c r="A38">
        <v>137</v>
      </c>
      <c r="B38" t="s">
        <v>92</v>
      </c>
      <c r="C38">
        <v>50000</v>
      </c>
      <c r="D38">
        <v>40000</v>
      </c>
      <c r="E38">
        <v>10000</v>
      </c>
      <c r="F38" t="s">
        <v>132</v>
      </c>
    </row>
    <row r="39" spans="1:6" x14ac:dyDescent="0.35">
      <c r="A39">
        <v>138</v>
      </c>
      <c r="B39" t="s">
        <v>94</v>
      </c>
      <c r="C39">
        <v>55000</v>
      </c>
      <c r="D39">
        <v>55000</v>
      </c>
      <c r="E39">
        <v>0</v>
      </c>
      <c r="F39" t="s">
        <v>131</v>
      </c>
    </row>
    <row r="40" spans="1:6" x14ac:dyDescent="0.35">
      <c r="A40">
        <v>139</v>
      </c>
      <c r="B40" t="s">
        <v>96</v>
      </c>
      <c r="C40">
        <v>50000</v>
      </c>
      <c r="D40">
        <v>30000</v>
      </c>
      <c r="E40">
        <v>20000</v>
      </c>
      <c r="F40" t="s">
        <v>132</v>
      </c>
    </row>
    <row r="41" spans="1:6" x14ac:dyDescent="0.35">
      <c r="A41">
        <v>140</v>
      </c>
      <c r="B41" t="s">
        <v>98</v>
      </c>
      <c r="C41">
        <v>45000</v>
      </c>
      <c r="D41">
        <v>40000</v>
      </c>
      <c r="E41">
        <v>5000</v>
      </c>
      <c r="F41" t="s">
        <v>132</v>
      </c>
    </row>
    <row r="42" spans="1:6" x14ac:dyDescent="0.35">
      <c r="A42">
        <v>141</v>
      </c>
      <c r="B42" t="s">
        <v>100</v>
      </c>
      <c r="C42">
        <v>50000</v>
      </c>
      <c r="D42">
        <v>35000</v>
      </c>
      <c r="E42">
        <v>15000</v>
      </c>
      <c r="F42" t="s">
        <v>132</v>
      </c>
    </row>
    <row r="43" spans="1:6" x14ac:dyDescent="0.35">
      <c r="A43">
        <v>142</v>
      </c>
      <c r="B43" t="s">
        <v>102</v>
      </c>
      <c r="C43">
        <v>55000</v>
      </c>
      <c r="D43">
        <v>55000</v>
      </c>
      <c r="E43">
        <v>0</v>
      </c>
      <c r="F43" t="s">
        <v>131</v>
      </c>
    </row>
    <row r="44" spans="1:6" x14ac:dyDescent="0.35">
      <c r="A44">
        <v>143</v>
      </c>
      <c r="B44" t="s">
        <v>104</v>
      </c>
      <c r="C44">
        <v>50000</v>
      </c>
      <c r="D44">
        <v>50000</v>
      </c>
      <c r="E44">
        <v>0</v>
      </c>
      <c r="F44" t="s">
        <v>131</v>
      </c>
    </row>
    <row r="45" spans="1:6" x14ac:dyDescent="0.35">
      <c r="A45">
        <v>144</v>
      </c>
      <c r="B45" t="s">
        <v>106</v>
      </c>
      <c r="C45">
        <v>55000</v>
      </c>
      <c r="D45">
        <v>50000</v>
      </c>
      <c r="E45">
        <v>5000</v>
      </c>
      <c r="F45" t="s">
        <v>132</v>
      </c>
    </row>
    <row r="46" spans="1:6" x14ac:dyDescent="0.35">
      <c r="A46">
        <v>145</v>
      </c>
      <c r="B46" t="s">
        <v>108</v>
      </c>
      <c r="C46">
        <v>45000</v>
      </c>
      <c r="D46">
        <v>30000</v>
      </c>
      <c r="E46">
        <v>15000</v>
      </c>
      <c r="F46" t="s">
        <v>132</v>
      </c>
    </row>
    <row r="47" spans="1:6" x14ac:dyDescent="0.35">
      <c r="A47">
        <v>146</v>
      </c>
      <c r="B47" t="s">
        <v>110</v>
      </c>
      <c r="C47">
        <v>50000</v>
      </c>
      <c r="D47">
        <v>50000</v>
      </c>
      <c r="E47">
        <v>0</v>
      </c>
      <c r="F47" t="s">
        <v>131</v>
      </c>
    </row>
    <row r="48" spans="1:6" x14ac:dyDescent="0.35">
      <c r="A48">
        <v>147</v>
      </c>
      <c r="B48" t="s">
        <v>112</v>
      </c>
      <c r="C48">
        <v>50000</v>
      </c>
      <c r="D48">
        <v>40000</v>
      </c>
      <c r="E48">
        <v>10000</v>
      </c>
      <c r="F48" t="s">
        <v>132</v>
      </c>
    </row>
    <row r="49" spans="1:6" x14ac:dyDescent="0.35">
      <c r="A49">
        <v>148</v>
      </c>
      <c r="B49" t="s">
        <v>114</v>
      </c>
      <c r="C49">
        <v>55000</v>
      </c>
      <c r="D49">
        <v>55000</v>
      </c>
      <c r="E49">
        <v>0</v>
      </c>
      <c r="F49" t="s">
        <v>131</v>
      </c>
    </row>
    <row r="50" spans="1:6" x14ac:dyDescent="0.35">
      <c r="A50">
        <v>149</v>
      </c>
      <c r="B50" t="s">
        <v>116</v>
      </c>
      <c r="C50">
        <v>50000</v>
      </c>
      <c r="D50">
        <v>30000</v>
      </c>
      <c r="E50">
        <v>20000</v>
      </c>
      <c r="F50" t="s">
        <v>132</v>
      </c>
    </row>
    <row r="51" spans="1:6" x14ac:dyDescent="0.35">
      <c r="A51">
        <v>150</v>
      </c>
      <c r="B51" t="s">
        <v>118</v>
      </c>
      <c r="C51">
        <v>45000</v>
      </c>
      <c r="D51">
        <v>45000</v>
      </c>
      <c r="E51">
        <v>0</v>
      </c>
      <c r="F51" t="s">
        <v>131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C353-4FFE-45DD-85D3-454A261BC2CA}">
  <dimension ref="A2:K26"/>
  <sheetViews>
    <sheetView tabSelected="1" workbookViewId="0">
      <selection activeCell="B10" sqref="B10"/>
    </sheetView>
  </sheetViews>
  <sheetFormatPr defaultRowHeight="14.5" x14ac:dyDescent="0.35"/>
  <cols>
    <col min="1" max="1" width="17.90625" customWidth="1"/>
    <col min="2" max="2" width="10.26953125" customWidth="1"/>
    <col min="9" max="9" width="4.36328125" customWidth="1"/>
  </cols>
  <sheetData>
    <row r="2" spans="1:11" x14ac:dyDescent="0.35">
      <c r="F2" s="3"/>
      <c r="G2" s="3"/>
      <c r="H2" s="3"/>
      <c r="I2" s="3"/>
      <c r="J2" s="3"/>
    </row>
    <row r="3" spans="1:11" x14ac:dyDescent="0.35">
      <c r="A3" t="s">
        <v>139</v>
      </c>
      <c r="B3" t="s">
        <v>140</v>
      </c>
      <c r="F3" s="3"/>
      <c r="G3" s="3"/>
      <c r="H3" s="3"/>
      <c r="I3" s="3"/>
      <c r="J3" s="3"/>
    </row>
    <row r="4" spans="1:11" x14ac:dyDescent="0.35">
      <c r="A4" t="s">
        <v>151</v>
      </c>
      <c r="B4">
        <f>COUNTA(Table1[Student_ID])</f>
        <v>50</v>
      </c>
      <c r="F4" s="3"/>
      <c r="G4" s="3"/>
      <c r="H4" s="3"/>
      <c r="I4" s="3"/>
      <c r="J4" s="3"/>
    </row>
    <row r="5" spans="1:11" x14ac:dyDescent="0.35">
      <c r="A5" t="s">
        <v>152</v>
      </c>
      <c r="B5">
        <f>SUM(Table1[Total_fees])</f>
        <v>2500000</v>
      </c>
      <c r="F5" s="3"/>
      <c r="G5" s="3"/>
      <c r="H5" s="3"/>
      <c r="I5" s="3"/>
      <c r="J5" s="3"/>
    </row>
    <row r="6" spans="1:11" x14ac:dyDescent="0.35">
      <c r="A6" t="s">
        <v>153</v>
      </c>
      <c r="B6">
        <f>SUM(Table1[Paid_Fees])</f>
        <v>2180000</v>
      </c>
      <c r="F6" s="3"/>
      <c r="G6" s="3"/>
      <c r="H6" s="3"/>
      <c r="I6" s="3"/>
      <c r="J6" s="3"/>
    </row>
    <row r="7" spans="1:11" x14ac:dyDescent="0.35">
      <c r="A7" t="s">
        <v>154</v>
      </c>
      <c r="B7">
        <f>B5-B6</f>
        <v>320000</v>
      </c>
      <c r="F7" s="3"/>
      <c r="G7" s="3"/>
      <c r="H7" s="3"/>
      <c r="I7" s="3"/>
      <c r="J7" s="3"/>
    </row>
    <row r="8" spans="1:11" x14ac:dyDescent="0.35">
      <c r="A8" t="s">
        <v>156</v>
      </c>
      <c r="B8">
        <f>COUNTA(Student_performance!M:M,Student_performance!M10)</f>
        <v>52</v>
      </c>
      <c r="F8" s="3"/>
      <c r="G8" s="3"/>
      <c r="H8" s="3"/>
      <c r="I8" s="3"/>
      <c r="J8" s="3"/>
    </row>
    <row r="9" spans="1:11" x14ac:dyDescent="0.35">
      <c r="A9" t="s">
        <v>155</v>
      </c>
      <c r="B9">
        <f>COUNTIF(Table2[Marks],"&gt;90")</f>
        <v>6</v>
      </c>
      <c r="F9" s="3"/>
      <c r="G9" s="3"/>
      <c r="H9" s="3"/>
      <c r="I9" s="3"/>
      <c r="J9" s="3"/>
    </row>
    <row r="10" spans="1:11" x14ac:dyDescent="0.35">
      <c r="F10" s="3"/>
      <c r="G10" s="3"/>
      <c r="H10" s="3"/>
      <c r="I10" s="3"/>
      <c r="J10" s="3"/>
    </row>
    <row r="11" spans="1:11" x14ac:dyDescent="0.35">
      <c r="F11" s="3"/>
      <c r="G11" s="3"/>
      <c r="H11" s="3"/>
      <c r="I11" s="3"/>
      <c r="J11" s="3"/>
    </row>
    <row r="12" spans="1:11" x14ac:dyDescent="0.35">
      <c r="F12" s="3"/>
      <c r="G12" s="3"/>
      <c r="H12" s="3"/>
      <c r="I12" s="3"/>
      <c r="J12" s="3"/>
    </row>
    <row r="13" spans="1:11" x14ac:dyDescent="0.35">
      <c r="F13" s="3"/>
      <c r="G13" s="3"/>
      <c r="H13" s="3"/>
      <c r="I13" s="3"/>
      <c r="J13" s="3"/>
    </row>
    <row r="14" spans="1:1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5">
      <c r="D15" s="3"/>
      <c r="I15" s="3"/>
    </row>
    <row r="16" spans="1:11" x14ac:dyDescent="0.35">
      <c r="D16" s="3"/>
      <c r="I16" s="3"/>
    </row>
    <row r="17" spans="4:9" x14ac:dyDescent="0.35">
      <c r="D17" s="3"/>
      <c r="I17" s="3"/>
    </row>
    <row r="18" spans="4:9" x14ac:dyDescent="0.35">
      <c r="D18" s="3"/>
      <c r="I18" s="3"/>
    </row>
    <row r="19" spans="4:9" x14ac:dyDescent="0.35">
      <c r="D19" s="3"/>
      <c r="I19" s="3"/>
    </row>
    <row r="20" spans="4:9" x14ac:dyDescent="0.35">
      <c r="D20" s="3"/>
      <c r="I20" s="3"/>
    </row>
    <row r="21" spans="4:9" x14ac:dyDescent="0.35">
      <c r="D21" s="3"/>
      <c r="I21" s="3"/>
    </row>
    <row r="22" spans="4:9" x14ac:dyDescent="0.35">
      <c r="D22" s="3"/>
      <c r="I22" s="3"/>
    </row>
    <row r="23" spans="4:9" x14ac:dyDescent="0.35">
      <c r="D23" s="3"/>
      <c r="I23" s="3"/>
    </row>
    <row r="24" spans="4:9" x14ac:dyDescent="0.35">
      <c r="D24" s="3"/>
      <c r="I24" s="3"/>
    </row>
    <row r="25" spans="4:9" x14ac:dyDescent="0.35">
      <c r="D25" s="3"/>
      <c r="I25" s="3"/>
    </row>
    <row r="26" spans="4:9" x14ac:dyDescent="0.35">
      <c r="D26" s="3"/>
      <c r="I26" s="3"/>
    </row>
  </sheetData>
  <mergeCells count="8">
    <mergeCell ref="H2:H13"/>
    <mergeCell ref="A14:K14"/>
    <mergeCell ref="D15:D26"/>
    <mergeCell ref="G2:G13"/>
    <mergeCell ref="F2:F13"/>
    <mergeCell ref="J2:J13"/>
    <mergeCell ref="I2:I13"/>
    <mergeCell ref="I15:I26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count of students by department</vt:lpstr>
      <vt:lpstr>Average Marks by Department</vt:lpstr>
      <vt:lpstr>Students by Department</vt:lpstr>
      <vt:lpstr>Grade Distribution</vt:lpstr>
      <vt:lpstr>city wise count</vt:lpstr>
      <vt:lpstr>Sheet15</vt:lpstr>
      <vt:lpstr>Student_performance</vt:lpstr>
      <vt:lpstr>Fee Status</vt:lpstr>
      <vt:lpstr>Pending Fees by Department</vt:lpstr>
      <vt:lpstr>Student_Fees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Chandini Thonduru</dc:creator>
  <cp:lastModifiedBy>Chandini Thonduru</cp:lastModifiedBy>
  <dcterms:created xsi:type="dcterms:W3CDTF">2026-10-08T11:04:40Z</dcterms:created>
  <dcterms:modified xsi:type="dcterms:W3CDTF">2026-10-30T11:32:31Z</dcterms:modified>
</cp:coreProperties>
</file>